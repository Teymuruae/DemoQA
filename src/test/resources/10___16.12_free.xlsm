
<file path=[Content_Types].xml><?xml version="1.0" encoding="utf-8"?>
<Types xmlns="http://schemas.openxmlformats.org/package/2006/content-types">
  <Default Extension="bin" ContentType="application/vnd.ms-office.activeX"/>
  <Override PartName="/xl/theme/theme1.xml" ContentType="application/vnd.openxmlformats-officedocument.theme+xml"/>
  <Override PartName="/xl/styles.xml" ContentType="application/vnd.openxmlformats-officedocument.spreadsheetml.styles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ЭтаКнига" defaultThemeVersion="124226"/>
  <workbookProtection lockStructure="1"/>
  <bookViews>
    <workbookView xWindow="360" yWindow="300" windowWidth="18735" windowHeight="11700"/>
  </bookViews>
  <sheets>
    <sheet name="График" sheetId="1" r:id="rId1"/>
    <sheet name="Условия" sheetId="2" r:id="rId2"/>
  </sheets>
  <definedNames>
    <definedName name="Фиксация">Условия!$C$2:$C$4</definedName>
    <definedName name="Часы">Условия!$A$2:$A$23</definedName>
  </definedNames>
  <calcPr calcId="125725"/>
</workbook>
</file>

<file path=xl/calcChain.xml><?xml version="1.0" encoding="utf-8"?>
<calcChain xmlns="http://schemas.openxmlformats.org/spreadsheetml/2006/main">
  <c r="D4" i="1"/>
  <c r="AL12"/>
  <c r="E16"/>
  <c r="F16" l="1"/>
  <c r="G16"/>
  <c r="AL15" s="1"/>
  <c r="H16"/>
  <c r="I16"/>
  <c r="J16"/>
  <c r="K16"/>
  <c r="L16"/>
  <c r="M16"/>
  <c r="N16"/>
  <c r="O16"/>
  <c r="P16"/>
  <c r="Q16"/>
  <c r="R16"/>
  <c r="S16"/>
  <c r="T16"/>
  <c r="U16"/>
  <c r="V16"/>
  <c r="W16"/>
  <c r="X16"/>
  <c r="Y16"/>
  <c r="Z16"/>
  <c r="AA16"/>
  <c r="AB16"/>
  <c r="AC16"/>
  <c r="AD16"/>
  <c r="AE16"/>
  <c r="AF16"/>
  <c r="AG16"/>
  <c r="AH16"/>
  <c r="AI16"/>
  <c r="AK16"/>
  <c r="AK11"/>
  <c r="AM12"/>
  <c r="AM13"/>
  <c r="AL13"/>
  <c r="AM14"/>
  <c r="AL14"/>
  <c r="AM15"/>
  <c r="AM11"/>
  <c r="AL11"/>
  <c r="AL16" l="1"/>
  <c r="AK14"/>
  <c r="AK12"/>
  <c r="AK15"/>
  <c r="AK13"/>
</calcChain>
</file>

<file path=xl/comments1.xml><?xml version="1.0" encoding="utf-8"?>
<comments xmlns="http://schemas.openxmlformats.org/spreadsheetml/2006/main">
  <authors>
    <author>Рыкова Ольга Н.</author>
    <author>Olga Rykova</author>
  </authors>
  <commentList>
    <comment ref="D2" authorId="0">
      <text>
        <r>
          <rPr>
            <b/>
            <sz val="8"/>
            <color indexed="81"/>
            <rFont val="Tahoma"/>
            <family val="2"/>
            <charset val="204"/>
          </rPr>
          <t>vexcele.ru:</t>
        </r>
        <r>
          <rPr>
            <sz val="8"/>
            <color indexed="81"/>
            <rFont val="Tahoma"/>
            <family val="2"/>
            <charset val="204"/>
          </rPr>
          <t xml:space="preserve">
В соответствии с ТК РФ</t>
        </r>
      </text>
    </comment>
    <comment ref="D3" authorId="1">
      <text>
        <r>
          <rPr>
            <b/>
            <sz val="8"/>
            <color indexed="81"/>
            <rFont val="Tahoma"/>
            <family val="2"/>
            <charset val="204"/>
          </rPr>
          <t>vexcele.ru:</t>
        </r>
        <r>
          <rPr>
            <sz val="8"/>
            <color indexed="81"/>
            <rFont val="Tahoma"/>
            <family val="2"/>
            <charset val="204"/>
          </rPr>
          <t xml:space="preserve">
в 2015г, на основании производственного календаря</t>
        </r>
      </text>
    </comment>
    <comment ref="D4" authorId="0">
      <text>
        <r>
          <rPr>
            <b/>
            <sz val="8"/>
            <color indexed="81"/>
            <rFont val="Tahoma"/>
            <family val="2"/>
            <charset val="204"/>
          </rPr>
          <t xml:space="preserve">vexcele.ru:
</t>
        </r>
        <r>
          <rPr>
            <sz val="8"/>
            <color indexed="81"/>
            <rFont val="Tahoma"/>
            <family val="2"/>
            <charset val="204"/>
          </rPr>
          <t xml:space="preserve">В соответствии с ТК РФ
</t>
        </r>
      </text>
    </comment>
    <comment ref="D5" authorId="0">
      <text>
        <r>
          <rPr>
            <b/>
            <sz val="8"/>
            <color indexed="81"/>
            <rFont val="Tahoma"/>
            <family val="2"/>
            <charset val="204"/>
          </rPr>
          <t>vexcele.ru:</t>
        </r>
        <r>
          <rPr>
            <sz val="8"/>
            <color indexed="81"/>
            <rFont val="Tahoma"/>
            <family val="2"/>
            <charset val="204"/>
          </rPr>
          <t xml:space="preserve">
Если устанавливается администрацией</t>
        </r>
      </text>
    </comment>
    <comment ref="AK16" authorId="0">
      <text>
        <r>
          <rPr>
            <b/>
            <sz val="8"/>
            <color indexed="81"/>
            <rFont val="Tahoma"/>
            <family val="2"/>
            <charset val="204"/>
          </rPr>
          <t>vexcele.ru:</t>
        </r>
        <r>
          <rPr>
            <sz val="8"/>
            <color indexed="81"/>
            <rFont val="Tahoma"/>
            <family val="2"/>
            <charset val="204"/>
          </rPr>
          <t xml:space="preserve">
Общий бюджет, часов.
Если устанавливается администрацией. Ссылка на ячейку D5</t>
        </r>
      </text>
    </comment>
  </commentList>
</comments>
</file>

<file path=xl/sharedStrings.xml><?xml version="1.0" encoding="utf-8"?>
<sst xmlns="http://schemas.openxmlformats.org/spreadsheetml/2006/main" count="125" uniqueCount="63">
  <si>
    <t>График работы магазина</t>
  </si>
  <si>
    <t>Ф.И.О.</t>
  </si>
  <si>
    <t>СБ</t>
  </si>
  <si>
    <t>ВС</t>
  </si>
  <si>
    <t>ПН</t>
  </si>
  <si>
    <t>ВТ</t>
  </si>
  <si>
    <t>СР</t>
  </si>
  <si>
    <t>ЧТ</t>
  </si>
  <si>
    <t>ПТ</t>
  </si>
  <si>
    <t>Дни</t>
  </si>
  <si>
    <t>Часы</t>
  </si>
  <si>
    <t>Дата</t>
  </si>
  <si>
    <t>Подпись</t>
  </si>
  <si>
    <t>Номер
п/п</t>
  </si>
  <si>
    <t>Профессия
(должность)</t>
  </si>
  <si>
    <t>Табел.
номер</t>
  </si>
  <si>
    <t>фиксировать</t>
  </si>
  <si>
    <t>продавец</t>
  </si>
  <si>
    <t>ст.продавец</t>
  </si>
  <si>
    <t>Иванов</t>
  </si>
  <si>
    <t>Петров</t>
  </si>
  <si>
    <t>0321</t>
  </si>
  <si>
    <t>Сидоров</t>
  </si>
  <si>
    <t>Леонов</t>
  </si>
  <si>
    <t xml:space="preserve"> -</t>
  </si>
  <si>
    <t>директор</t>
  </si>
  <si>
    <t>Макаров</t>
  </si>
  <si>
    <t>0417</t>
  </si>
  <si>
    <t>0513</t>
  </si>
  <si>
    <t>0609</t>
  </si>
  <si>
    <t>Итого по графику</t>
  </si>
  <si>
    <t>Максим. длительность раб. недели, час</t>
  </si>
  <si>
    <t>Длительность раб. года, час</t>
  </si>
  <si>
    <t>Общий бюджет часов (на всех сотрудников)</t>
  </si>
  <si>
    <t>Кол-во рабочих часов в месяц на 1 сотрудника, не более</t>
  </si>
  <si>
    <t>Итого</t>
  </si>
  <si>
    <t>Фиксация</t>
  </si>
  <si>
    <t>изменять</t>
  </si>
  <si>
    <t>Фиксировать
или изменять
график при расчете</t>
  </si>
  <si>
    <t>Бюджет часов
по ТК</t>
  </si>
  <si>
    <t>Продолжительность рабочего дня по умолчанию, часов</t>
  </si>
  <si>
    <t>Общие условия:</t>
  </si>
  <si>
    <t>Условия для автоматического формирования графика:</t>
  </si>
  <si>
    <t>0228</t>
  </si>
  <si>
    <t>Check</t>
  </si>
  <si>
    <t xml:space="preserve"> - </t>
  </si>
  <si>
    <t xml:space="preserve">Условия и условные обозначения: </t>
  </si>
  <si>
    <t>"фиксировать"</t>
  </si>
  <si>
    <t xml:space="preserve">"изменять" </t>
  </si>
  <si>
    <t xml:space="preserve"> - После нажатия на кнопку "Построить график" 
строится график с учетом указанных выходных</t>
  </si>
  <si>
    <t xml:space="preserve"> - Выходные дни. Дни, обозначенные значком " - ", 
при построении графика НЕ назначаюстя рабочими. </t>
  </si>
  <si>
    <t>Значок " - "выбирается из списка, выпадающего при
нажатии на треугольник справа активной от ячейки.</t>
  </si>
  <si>
    <t xml:space="preserve"> - График зафиксирован и не изменяется после
нажатия на кнопку "Построить график"</t>
  </si>
  <si>
    <t>Должность (заполняется автоматически
при добавлении в график</t>
  </si>
  <si>
    <t>Кол-во человек
(заполните)</t>
  </si>
  <si>
    <t xml:space="preserve">Обязательное присутствие в смене
(если устанавливается): </t>
  </si>
  <si>
    <t xml:space="preserve">Как это работает? </t>
  </si>
  <si>
    <t>3. Нажмите кнопку "Построить график"</t>
  </si>
  <si>
    <t>1. Заполните ячейки, залитые желтым (при необходимости)</t>
  </si>
  <si>
    <t>2. Проставьте сотрудникам  рабочие часы и выходные (значок "-"),
которые Вы хотите зафиксировать</t>
  </si>
  <si>
    <t>Обязательно включите макросы при открытии файла!</t>
  </si>
  <si>
    <t>4. Вы можете вносить необходимые изменеия в график
в любой момент. Построенный график можно скопировать
в другой файл</t>
  </si>
  <si>
    <t>Обязательное присутствие в смене</t>
  </si>
</sst>
</file>

<file path=xl/styles.xml><?xml version="1.0" encoding="utf-8"?>
<styleSheet xmlns="http://schemas.openxmlformats.org/spreadsheetml/2006/main">
  <numFmts count="1">
    <numFmt numFmtId="164" formatCode="0.0"/>
  </numFmts>
  <fonts count="22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b/>
      <sz val="8"/>
      <name val="Times New Roman"/>
      <family val="1"/>
      <charset val="204"/>
    </font>
    <font>
      <sz val="11"/>
      <color theme="1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b/>
      <sz val="8"/>
      <color indexed="81"/>
      <name val="Tahoma"/>
      <family val="2"/>
      <charset val="204"/>
    </font>
    <font>
      <sz val="8"/>
      <color indexed="81"/>
      <name val="Tahoma"/>
      <family val="2"/>
      <charset val="204"/>
    </font>
    <font>
      <b/>
      <sz val="9"/>
      <name val="Times New Roman"/>
      <family val="1"/>
      <charset val="204"/>
    </font>
    <font>
      <sz val="9"/>
      <color theme="1"/>
      <name val="Times New Roman"/>
      <family val="1"/>
      <charset val="204"/>
    </font>
    <font>
      <b/>
      <sz val="9"/>
      <color theme="1"/>
      <name val="Times New Roman"/>
      <family val="1"/>
      <charset val="204"/>
    </font>
    <font>
      <sz val="9"/>
      <name val="Times New Roman"/>
      <family val="1"/>
      <charset val="204"/>
    </font>
    <font>
      <sz val="10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rgb="FF0070C0"/>
      <name val="Times New Roman"/>
      <family val="1"/>
      <charset val="204"/>
    </font>
    <font>
      <b/>
      <sz val="11"/>
      <color rgb="FF0070C0"/>
      <name val="Times New Roman"/>
      <family val="1"/>
      <charset val="204"/>
    </font>
    <font>
      <sz val="16"/>
      <color theme="1"/>
      <name val="Times New Roman"/>
      <family val="1"/>
      <charset val="204"/>
    </font>
    <font>
      <u/>
      <sz val="10.45"/>
      <color theme="10"/>
      <name val="Calibri"/>
      <family val="2"/>
      <charset val="204"/>
    </font>
    <font>
      <b/>
      <u/>
      <sz val="12"/>
      <color theme="10"/>
      <name val="Times New Roman"/>
      <family val="1"/>
      <charset val="204"/>
    </font>
    <font>
      <b/>
      <u/>
      <sz val="12"/>
      <color rgb="FFFF0000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b/>
      <u/>
      <sz val="12"/>
      <color theme="10"/>
      <name val="Times Roman"/>
      <family val="1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17" fillId="0" borderId="0" applyNumberFormat="0" applyFill="0" applyBorder="0" applyAlignment="0" applyProtection="0">
      <alignment vertical="top"/>
      <protection locked="0"/>
    </xf>
  </cellStyleXfs>
  <cellXfs count="109">
    <xf numFmtId="0" fontId="0" fillId="0" borderId="0" xfId="0"/>
    <xf numFmtId="0" fontId="3" fillId="0" borderId="0" xfId="0" applyFont="1"/>
    <xf numFmtId="0" fontId="3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4" fillId="0" borderId="0" xfId="0" applyFont="1"/>
    <xf numFmtId="49" fontId="4" fillId="0" borderId="4" xfId="0" applyNumberFormat="1" applyFont="1" applyBorder="1"/>
    <xf numFmtId="0" fontId="4" fillId="0" borderId="11" xfId="0" applyFont="1" applyBorder="1" applyAlignment="1">
      <alignment horizontal="center"/>
    </xf>
    <xf numFmtId="0" fontId="4" fillId="0" borderId="11" xfId="0" applyFont="1" applyBorder="1"/>
    <xf numFmtId="0" fontId="4" fillId="0" borderId="2" xfId="0" applyFont="1" applyBorder="1" applyAlignment="1">
      <alignment horizontal="center"/>
    </xf>
    <xf numFmtId="0" fontId="4" fillId="0" borderId="2" xfId="0" applyFont="1" applyBorder="1"/>
    <xf numFmtId="0" fontId="9" fillId="0" borderId="2" xfId="0" applyFont="1" applyBorder="1" applyAlignment="1">
      <alignment horizontal="center"/>
    </xf>
    <xf numFmtId="0" fontId="1" fillId="0" borderId="0" xfId="0" applyFont="1"/>
    <xf numFmtId="0" fontId="4" fillId="2" borderId="2" xfId="0" applyFont="1" applyFill="1" applyBorder="1"/>
    <xf numFmtId="0" fontId="3" fillId="0" borderId="0" xfId="0" applyFont="1" applyFill="1"/>
    <xf numFmtId="1" fontId="11" fillId="0" borderId="0" xfId="0" applyNumberFormat="1" applyFont="1" applyBorder="1" applyAlignment="1">
      <alignment horizontal="center" vertical="center"/>
    </xf>
    <xf numFmtId="0" fontId="12" fillId="0" borderId="0" xfId="0" applyFont="1"/>
    <xf numFmtId="0" fontId="3" fillId="0" borderId="0" xfId="0" applyFont="1" applyFill="1" applyBorder="1" applyAlignment="1">
      <alignment horizontal="left" wrapText="1"/>
    </xf>
    <xf numFmtId="0" fontId="3" fillId="0" borderId="0" xfId="0" applyFont="1" applyFill="1" applyBorder="1" applyAlignment="1">
      <alignment horizontal="center" vertical="center"/>
    </xf>
    <xf numFmtId="0" fontId="13" fillId="0" borderId="0" xfId="0" applyFont="1" applyAlignment="1">
      <alignment horizontal="center"/>
    </xf>
    <xf numFmtId="0" fontId="3" fillId="0" borderId="0" xfId="0" applyFont="1" applyBorder="1" applyAlignment="1">
      <alignment horizontal="left" vertical="center" wrapText="1"/>
    </xf>
    <xf numFmtId="0" fontId="3" fillId="0" borderId="0" xfId="0" applyFont="1" applyBorder="1"/>
    <xf numFmtId="49" fontId="8" fillId="0" borderId="2" xfId="0" applyNumberFormat="1" applyFont="1" applyBorder="1" applyProtection="1">
      <protection locked="0"/>
    </xf>
    <xf numFmtId="0" fontId="8" fillId="0" borderId="2" xfId="0" applyFont="1" applyBorder="1" applyAlignment="1" applyProtection="1">
      <alignment horizontal="center"/>
      <protection locked="0"/>
    </xf>
    <xf numFmtId="0" fontId="8" fillId="0" borderId="2" xfId="0" applyFont="1" applyBorder="1" applyProtection="1">
      <protection locked="0"/>
    </xf>
    <xf numFmtId="0" fontId="10" fillId="0" borderId="2" xfId="0" applyNumberFormat="1" applyFont="1" applyFill="1" applyBorder="1" applyAlignment="1" applyProtection="1">
      <alignment horizontal="center"/>
      <protection locked="0"/>
    </xf>
    <xf numFmtId="0" fontId="11" fillId="2" borderId="2" xfId="0" applyFont="1" applyFill="1" applyBorder="1" applyAlignment="1" applyProtection="1">
      <alignment shrinkToFit="1"/>
      <protection locked="0"/>
    </xf>
    <xf numFmtId="164" fontId="8" fillId="0" borderId="2" xfId="0" applyNumberFormat="1" applyFont="1" applyBorder="1" applyAlignment="1" applyProtection="1">
      <alignment horizontal="center" shrinkToFit="1"/>
      <protection locked="0"/>
    </xf>
    <xf numFmtId="0" fontId="8" fillId="0" borderId="2" xfId="0" applyFont="1" applyBorder="1" applyAlignment="1" applyProtection="1">
      <alignment horizontal="center" vertical="center"/>
      <protection locked="0"/>
    </xf>
    <xf numFmtId="49" fontId="7" fillId="0" borderId="2" xfId="0" applyNumberFormat="1" applyFont="1" applyFill="1" applyBorder="1" applyAlignment="1" applyProtection="1">
      <alignment horizontal="center" vertical="center"/>
      <protection locked="0" hidden="1"/>
    </xf>
    <xf numFmtId="49" fontId="2" fillId="0" borderId="0" xfId="0" applyNumberFormat="1" applyFont="1" applyFill="1" applyProtection="1">
      <protection locked="0"/>
    </xf>
    <xf numFmtId="0" fontId="8" fillId="0" borderId="0" xfId="0" applyFont="1" applyBorder="1" applyAlignment="1" applyProtection="1">
      <protection locked="0"/>
    </xf>
    <xf numFmtId="1" fontId="11" fillId="0" borderId="0" xfId="0" applyNumberFormat="1" applyFont="1" applyBorder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3" fillId="0" borderId="0" xfId="0" applyFont="1" applyAlignment="1" applyProtection="1">
      <alignment horizontal="center"/>
      <protection locked="0"/>
    </xf>
    <xf numFmtId="0" fontId="3" fillId="0" borderId="0" xfId="0" applyFont="1" applyProtection="1">
      <protection locked="0"/>
    </xf>
    <xf numFmtId="0" fontId="4" fillId="0" borderId="2" xfId="0" applyFont="1" applyBorder="1" applyAlignment="1">
      <alignment horizontal="center" vertical="center"/>
    </xf>
    <xf numFmtId="0" fontId="8" fillId="0" borderId="2" xfId="0" applyFont="1" applyBorder="1" applyProtection="1">
      <protection locked="0"/>
    </xf>
    <xf numFmtId="0" fontId="3" fillId="0" borderId="0" xfId="0" applyFont="1" applyAlignment="1">
      <alignment vertical="center"/>
    </xf>
    <xf numFmtId="0" fontId="3" fillId="0" borderId="4" xfId="0" applyFont="1" applyBorder="1" applyAlignment="1">
      <alignment vertical="center"/>
    </xf>
    <xf numFmtId="0" fontId="3" fillId="0" borderId="11" xfId="0" applyFont="1" applyBorder="1" applyAlignment="1">
      <alignment vertical="center"/>
    </xf>
    <xf numFmtId="0" fontId="3" fillId="0" borderId="5" xfId="0" applyFont="1" applyBorder="1" applyAlignment="1">
      <alignment vertical="center"/>
    </xf>
    <xf numFmtId="0" fontId="3" fillId="0" borderId="12" xfId="0" applyFont="1" applyBorder="1" applyAlignment="1">
      <alignment vertical="center"/>
    </xf>
    <xf numFmtId="0" fontId="3" fillId="0" borderId="14" xfId="0" applyFont="1" applyBorder="1" applyAlignment="1">
      <alignment vertical="center"/>
    </xf>
    <xf numFmtId="0" fontId="3" fillId="0" borderId="19" xfId="0" applyFont="1" applyBorder="1" applyAlignment="1">
      <alignment vertical="center"/>
    </xf>
    <xf numFmtId="0" fontId="16" fillId="0" borderId="20" xfId="0" applyFont="1" applyBorder="1" applyAlignment="1">
      <alignment horizontal="center" vertical="center"/>
    </xf>
    <xf numFmtId="0" fontId="3" fillId="0" borderId="22" xfId="0" applyFont="1" applyBorder="1" applyAlignment="1">
      <alignment vertical="center"/>
    </xf>
    <xf numFmtId="0" fontId="3" fillId="0" borderId="17" xfId="0" applyFont="1" applyBorder="1" applyAlignment="1">
      <alignment vertical="center"/>
    </xf>
    <xf numFmtId="0" fontId="3" fillId="0" borderId="23" xfId="0" applyFont="1" applyBorder="1" applyAlignment="1">
      <alignment vertical="center"/>
    </xf>
    <xf numFmtId="0" fontId="11" fillId="2" borderId="12" xfId="0" applyFont="1" applyFill="1" applyBorder="1" applyAlignment="1" applyProtection="1">
      <alignment horizontal="center" vertical="center"/>
      <protection locked="0"/>
    </xf>
    <xf numFmtId="0" fontId="11" fillId="2" borderId="4" xfId="0" applyFont="1" applyFill="1" applyBorder="1" applyAlignment="1" applyProtection="1">
      <alignment horizontal="center" vertical="center"/>
      <protection locked="0"/>
    </xf>
    <xf numFmtId="164" fontId="11" fillId="2" borderId="4" xfId="0" applyNumberFormat="1" applyFont="1" applyFill="1" applyBorder="1" applyAlignment="1" applyProtection="1">
      <alignment horizontal="center" vertical="center"/>
      <protection locked="0"/>
    </xf>
    <xf numFmtId="0" fontId="3" fillId="2" borderId="13" xfId="0" applyFont="1" applyFill="1" applyBorder="1" applyAlignment="1" applyProtection="1">
      <alignment horizontal="center" vertical="center"/>
      <protection locked="0"/>
    </xf>
    <xf numFmtId="1" fontId="11" fillId="2" borderId="2" xfId="0" applyNumberFormat="1" applyFont="1" applyFill="1" applyBorder="1" applyAlignment="1" applyProtection="1">
      <alignment horizontal="center" vertical="center"/>
      <protection locked="0"/>
    </xf>
    <xf numFmtId="0" fontId="3" fillId="0" borderId="0" xfId="0" applyFont="1" applyBorder="1" applyAlignment="1" applyProtection="1">
      <protection locked="0"/>
    </xf>
    <xf numFmtId="1" fontId="3" fillId="2" borderId="0" xfId="0" applyNumberFormat="1" applyFont="1" applyFill="1" applyBorder="1" applyAlignment="1" applyProtection="1">
      <alignment horizontal="center" vertical="center"/>
      <protection locked="0"/>
    </xf>
    <xf numFmtId="0" fontId="15" fillId="2" borderId="5" xfId="0" applyFont="1" applyFill="1" applyBorder="1" applyAlignment="1" applyProtection="1">
      <alignment horizontal="center" vertical="center" wrapText="1"/>
    </xf>
    <xf numFmtId="0" fontId="13" fillId="0" borderId="0" xfId="0" applyFont="1" applyAlignment="1">
      <alignment vertical="center"/>
    </xf>
    <xf numFmtId="0" fontId="3" fillId="0" borderId="0" xfId="0" applyFont="1" applyFill="1" applyAlignment="1">
      <alignment vertical="center"/>
    </xf>
    <xf numFmtId="0" fontId="8" fillId="0" borderId="2" xfId="0" applyFont="1" applyFill="1" applyBorder="1" applyProtection="1">
      <protection locked="0"/>
    </xf>
    <xf numFmtId="0" fontId="4" fillId="0" borderId="11" xfId="0" applyFont="1" applyFill="1" applyBorder="1"/>
    <xf numFmtId="0" fontId="4" fillId="0" borderId="5" xfId="0" applyFont="1" applyFill="1" applyBorder="1"/>
    <xf numFmtId="0" fontId="3" fillId="0" borderId="0" xfId="0" applyFont="1" applyFill="1" applyAlignment="1">
      <alignment horizontal="center"/>
    </xf>
    <xf numFmtId="0" fontId="3" fillId="0" borderId="0" xfId="0" applyFont="1" applyFill="1" applyBorder="1"/>
    <xf numFmtId="0" fontId="18" fillId="0" borderId="0" xfId="1" applyFont="1" applyAlignment="1" applyProtection="1"/>
    <xf numFmtId="0" fontId="19" fillId="0" borderId="17" xfId="1" applyFont="1" applyBorder="1" applyAlignment="1" applyProtection="1">
      <alignment horizontal="left" vertical="top"/>
    </xf>
    <xf numFmtId="0" fontId="20" fillId="0" borderId="0" xfId="0" applyFont="1"/>
    <xf numFmtId="0" fontId="21" fillId="0" borderId="0" xfId="1" applyFont="1" applyFill="1" applyAlignment="1" applyProtection="1"/>
    <xf numFmtId="0" fontId="15" fillId="0" borderId="4" xfId="0" applyFont="1" applyBorder="1" applyAlignment="1" applyProtection="1">
      <alignment horizontal="left" vertical="center" wrapText="1"/>
    </xf>
    <xf numFmtId="0" fontId="15" fillId="0" borderId="11" xfId="0" applyFont="1" applyBorder="1" applyAlignment="1" applyProtection="1">
      <alignment horizontal="left" vertical="center" wrapText="1"/>
    </xf>
    <xf numFmtId="0" fontId="15" fillId="0" borderId="5" xfId="0" applyFont="1" applyBorder="1" applyAlignment="1" applyProtection="1">
      <alignment horizontal="left" vertical="center" wrapText="1"/>
    </xf>
    <xf numFmtId="0" fontId="14" fillId="0" borderId="4" xfId="0" applyFont="1" applyBorder="1" applyAlignment="1">
      <alignment horizontal="left" vertical="center" wrapText="1"/>
    </xf>
    <xf numFmtId="0" fontId="14" fillId="0" borderId="11" xfId="0" applyFont="1" applyBorder="1" applyAlignment="1">
      <alignment horizontal="left" vertical="center"/>
    </xf>
    <xf numFmtId="0" fontId="14" fillId="0" borderId="4" xfId="0" applyFont="1" applyBorder="1" applyAlignment="1">
      <alignment horizontal="left" wrapText="1"/>
    </xf>
    <xf numFmtId="0" fontId="14" fillId="0" borderId="11" xfId="0" applyFont="1" applyBorder="1" applyAlignment="1">
      <alignment horizontal="left" wrapText="1"/>
    </xf>
    <xf numFmtId="0" fontId="14" fillId="0" borderId="5" xfId="0" applyFont="1" applyBorder="1" applyAlignment="1">
      <alignment horizontal="left" wrapText="1"/>
    </xf>
    <xf numFmtId="49" fontId="7" fillId="0" borderId="2" xfId="0" applyNumberFormat="1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>
      <alignment horizontal="left" vertical="center" wrapText="1"/>
    </xf>
    <xf numFmtId="49" fontId="7" fillId="0" borderId="2" xfId="0" applyNumberFormat="1" applyFont="1" applyFill="1" applyBorder="1" applyAlignment="1" applyProtection="1">
      <alignment horizontal="center" vertical="center" wrapText="1" shrinkToFit="1"/>
      <protection locked="0" hidden="1"/>
    </xf>
    <xf numFmtId="0" fontId="8" fillId="0" borderId="2" xfId="0" applyFont="1" applyBorder="1" applyAlignment="1" applyProtection="1">
      <alignment horizontal="center"/>
      <protection locked="0"/>
    </xf>
    <xf numFmtId="0" fontId="3" fillId="0" borderId="2" xfId="0" applyFont="1" applyBorder="1" applyAlignment="1" applyProtection="1">
      <alignment horizontal="left" vertical="center" wrapText="1"/>
      <protection locked="0"/>
    </xf>
    <xf numFmtId="49" fontId="7" fillId="0" borderId="2" xfId="0" applyNumberFormat="1" applyFont="1" applyFill="1" applyBorder="1" applyAlignment="1" applyProtection="1">
      <alignment horizontal="center" vertical="center" shrinkToFit="1"/>
      <protection locked="0" hidden="1"/>
    </xf>
    <xf numFmtId="0" fontId="3" fillId="0" borderId="4" xfId="0" applyFont="1" applyBorder="1" applyAlignment="1">
      <alignment horizontal="center"/>
    </xf>
    <xf numFmtId="0" fontId="3" fillId="0" borderId="5" xfId="0" applyFont="1" applyBorder="1" applyAlignment="1">
      <alignment horizontal="center"/>
    </xf>
    <xf numFmtId="49" fontId="7" fillId="0" borderId="1" xfId="0" applyNumberFormat="1" applyFont="1" applyFill="1" applyBorder="1" applyAlignment="1" applyProtection="1">
      <alignment horizontal="center" vertical="center" wrapText="1"/>
      <protection locked="0" hidden="1"/>
    </xf>
    <xf numFmtId="49" fontId="7" fillId="0" borderId="3" xfId="0" applyNumberFormat="1" applyFont="1" applyFill="1" applyBorder="1" applyAlignment="1" applyProtection="1">
      <alignment horizontal="center" vertical="center" wrapText="1"/>
      <protection locked="0" hidden="1"/>
    </xf>
    <xf numFmtId="49" fontId="7" fillId="0" borderId="2" xfId="0" applyNumberFormat="1" applyFont="1" applyFill="1" applyBorder="1" applyAlignment="1" applyProtection="1">
      <alignment horizontal="center" vertical="center" wrapText="1"/>
      <protection locked="0" hidden="1"/>
    </xf>
    <xf numFmtId="0" fontId="8" fillId="0" borderId="2" xfId="0" applyFont="1" applyBorder="1" applyProtection="1">
      <protection locked="0"/>
    </xf>
    <xf numFmtId="49" fontId="7" fillId="0" borderId="2" xfId="0" applyNumberFormat="1" applyFont="1" applyFill="1" applyBorder="1" applyAlignment="1" applyProtection="1">
      <alignment horizontal="center" vertical="center" textRotation="90" wrapText="1"/>
      <protection locked="0" hidden="1"/>
    </xf>
    <xf numFmtId="49" fontId="7" fillId="2" borderId="1" xfId="0" applyNumberFormat="1" applyFont="1" applyFill="1" applyBorder="1" applyAlignment="1" applyProtection="1">
      <alignment horizontal="center" vertical="center" wrapText="1"/>
      <protection locked="0" hidden="1"/>
    </xf>
    <xf numFmtId="49" fontId="7" fillId="2" borderId="3" xfId="0" applyNumberFormat="1" applyFont="1" applyFill="1" applyBorder="1" applyAlignment="1" applyProtection="1">
      <alignment horizontal="center" vertical="center" wrapText="1"/>
      <protection locked="0" hidden="1"/>
    </xf>
    <xf numFmtId="0" fontId="3" fillId="0" borderId="12" xfId="0" applyFont="1" applyBorder="1" applyAlignment="1">
      <alignment vertical="center" wrapText="1"/>
    </xf>
    <xf numFmtId="0" fontId="0" fillId="0" borderId="14" xfId="0" applyBorder="1" applyAlignment="1">
      <alignment vertical="center"/>
    </xf>
    <xf numFmtId="0" fontId="0" fillId="0" borderId="15" xfId="0" applyBorder="1" applyAlignment="1">
      <alignment vertical="center"/>
    </xf>
    <xf numFmtId="0" fontId="3" fillId="0" borderId="4" xfId="0" applyFont="1" applyBorder="1" applyAlignment="1">
      <alignment vertical="center" wrapText="1"/>
    </xf>
    <xf numFmtId="0" fontId="0" fillId="0" borderId="11" xfId="0" applyBorder="1" applyAlignment="1">
      <alignment vertical="center"/>
    </xf>
    <xf numFmtId="0" fontId="0" fillId="0" borderId="16" xfId="0" applyBorder="1" applyAlignment="1">
      <alignment vertical="center"/>
    </xf>
    <xf numFmtId="0" fontId="3" fillId="0" borderId="19" xfId="0" applyFont="1" applyBorder="1" applyAlignment="1">
      <alignment vertical="center" wrapText="1"/>
    </xf>
    <xf numFmtId="0" fontId="0" fillId="0" borderId="20" xfId="0" applyBorder="1" applyAlignment="1">
      <alignment vertical="center"/>
    </xf>
    <xf numFmtId="0" fontId="0" fillId="0" borderId="21" xfId="0" applyBorder="1" applyAlignment="1">
      <alignment vertical="center"/>
    </xf>
    <xf numFmtId="0" fontId="3" fillId="0" borderId="17" xfId="0" applyFont="1" applyBorder="1" applyAlignment="1">
      <alignment vertical="center" wrapText="1"/>
    </xf>
    <xf numFmtId="0" fontId="0" fillId="0" borderId="17" xfId="0" applyBorder="1" applyAlignment="1">
      <alignment vertical="center"/>
    </xf>
    <xf numFmtId="0" fontId="0" fillId="0" borderId="18" xfId="0" applyBorder="1" applyAlignment="1">
      <alignment vertical="center"/>
    </xf>
    <xf numFmtId="0" fontId="3" fillId="0" borderId="9" xfId="0" applyFont="1" applyFill="1" applyBorder="1" applyAlignment="1">
      <alignment horizontal="left" vertical="center" wrapText="1"/>
    </xf>
    <xf numFmtId="0" fontId="3" fillId="0" borderId="10" xfId="0" applyFont="1" applyFill="1" applyBorder="1" applyAlignment="1">
      <alignment horizontal="left" vertical="center" wrapText="1"/>
    </xf>
    <xf numFmtId="0" fontId="3" fillId="0" borderId="6" xfId="0" applyFont="1" applyBorder="1" applyAlignment="1">
      <alignment horizontal="left" vertical="center" wrapText="1"/>
    </xf>
    <xf numFmtId="0" fontId="3" fillId="0" borderId="7" xfId="0" applyFont="1" applyBorder="1" applyAlignment="1">
      <alignment horizontal="left" vertical="center" wrapText="1"/>
    </xf>
    <xf numFmtId="0" fontId="3" fillId="0" borderId="8" xfId="0" applyFont="1" applyBorder="1" applyAlignment="1">
      <alignment horizontal="left" vertical="center" wrapText="1"/>
    </xf>
    <xf numFmtId="0" fontId="3" fillId="0" borderId="2" xfId="0" applyFont="1" applyBorder="1" applyAlignment="1">
      <alignment horizontal="left" vertical="center" wrapText="1"/>
    </xf>
  </cellXfs>
  <cellStyles count="2">
    <cellStyle name="Гиперссылка" xfId="1" builtinId="8"/>
    <cellStyle name="Обычный" xfId="0" builtinId="0"/>
  </cellStyles>
  <dxfs count="2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http://vexcele.ru/load/dlja_biznesa/vkljuchit_makrosy/5-1-0-16" TargetMode="External"/><Relationship Id="rId1" Type="http://schemas.openxmlformats.org/officeDocument/2006/relationships/hyperlink" Target="http://vexcele.ru/shop/20/desc/grafik-raboty-grafik-smen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41219</xdr:colOff>
      <xdr:row>0</xdr:row>
      <xdr:rowOff>31193</xdr:rowOff>
    </xdr:from>
    <xdr:to>
      <xdr:col>4</xdr:col>
      <xdr:colOff>40105</xdr:colOff>
      <xdr:row>0</xdr:row>
      <xdr:rowOff>461211</xdr:rowOff>
    </xdr:to>
    <xdr:sp macro="" textlink="">
      <xdr:nvSpPr>
        <xdr:cNvPr id="2" name="Пятиугольник 1">
          <a:hlinkClick xmlns:r="http://schemas.openxmlformats.org/officeDocument/2006/relationships" r:id="rId1" tooltip="Полная версия"/>
        </xdr:cNvPr>
        <xdr:cNvSpPr/>
      </xdr:nvSpPr>
      <xdr:spPr>
        <a:xfrm>
          <a:off x="41219" y="31193"/>
          <a:ext cx="3147149" cy="430018"/>
        </a:xfrm>
        <a:prstGeom prst="homePlate">
          <a:avLst/>
        </a:prstGeom>
        <a:solidFill>
          <a:srgbClr val="C0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ru-RU" sz="1050" b="1" baseline="0"/>
            <a:t>Купить полную версию (до 40 человек) за </a:t>
          </a:r>
          <a:r>
            <a:rPr lang="en-US" sz="1050" b="1" baseline="0"/>
            <a:t>$3.</a:t>
          </a:r>
          <a:r>
            <a:rPr lang="ru-RU" sz="1050" b="1" baseline="0"/>
            <a:t>9</a:t>
          </a:r>
          <a:r>
            <a:rPr lang="en-US" sz="1050" b="1" baseline="0"/>
            <a:t>0</a:t>
          </a:r>
          <a:endParaRPr lang="ru-RU" sz="1050" b="1" baseline="0"/>
        </a:p>
      </xdr:txBody>
    </xdr:sp>
    <xdr:clientData fPrintsWithSheet="0"/>
  </xdr:twoCellAnchor>
  <xdr:twoCellAnchor editAs="absolute">
    <xdr:from>
      <xdr:col>5</xdr:col>
      <xdr:colOff>131456</xdr:colOff>
      <xdr:row>0</xdr:row>
      <xdr:rowOff>31193</xdr:rowOff>
    </xdr:from>
    <xdr:to>
      <xdr:col>16</xdr:col>
      <xdr:colOff>80210</xdr:colOff>
      <xdr:row>0</xdr:row>
      <xdr:rowOff>461211</xdr:rowOff>
    </xdr:to>
    <xdr:sp macro="" textlink="">
      <xdr:nvSpPr>
        <xdr:cNvPr id="3" name="Пятиугольник 2">
          <a:hlinkClick xmlns:r="http://schemas.openxmlformats.org/officeDocument/2006/relationships" r:id="rId2" tooltip="Как включить макросы"/>
        </xdr:cNvPr>
        <xdr:cNvSpPr/>
      </xdr:nvSpPr>
      <xdr:spPr>
        <a:xfrm>
          <a:off x="3570482" y="31193"/>
          <a:ext cx="3147149" cy="430018"/>
        </a:xfrm>
        <a:prstGeom prst="homePlate">
          <a:avLst/>
        </a:prstGeom>
        <a:solidFill>
          <a:srgbClr val="C00000">
            <a:alpha val="43000"/>
          </a:srgbClr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ru-RU" sz="1050" b="1" baseline="0">
              <a:solidFill>
                <a:sysClr val="windowText" lastClr="000000"/>
              </a:solidFill>
            </a:rPr>
            <a:t>Если кнопка "Построить график" не работает, включите макросы!</a:t>
          </a:r>
        </a:p>
      </xdr:txBody>
    </xdr:sp>
    <xdr:clientData fPrintsWithSheet="0"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hyperlink" Target="http://vexcele.ru/load/dlja_biznesa/vkljuchit_makrosy/5-1-0-16" TargetMode="External"/><Relationship Id="rId5" Type="http://schemas.openxmlformats.org/officeDocument/2006/relationships/comments" Target="../comments1.xml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A1:AO748"/>
  <sheetViews>
    <sheetView showGridLines="0" tabSelected="1" zoomScale="95" zoomScaleNormal="95" workbookViewId="0">
      <pane xSplit="4" topLeftCell="E1" activePane="topRight" state="frozen"/>
      <selection pane="topRight" activeCell="E7" sqref="E7"/>
    </sheetView>
  </sheetViews>
  <sheetFormatPr defaultRowHeight="15" outlineLevelCol="1"/>
  <cols>
    <col min="1" max="1" width="6.28515625" style="1" customWidth="1"/>
    <col min="2" max="2" width="6.85546875" style="2" customWidth="1"/>
    <col min="3" max="3" width="15.42578125" style="1" customWidth="1"/>
    <col min="4" max="4" width="18.42578125" style="1" customWidth="1"/>
    <col min="5" max="35" width="4.42578125" style="1" customWidth="1"/>
    <col min="36" max="36" width="14" style="1" customWidth="1" outlineLevel="1"/>
    <col min="37" max="37" width="13" style="1" customWidth="1" outlineLevel="1"/>
    <col min="38" max="39" width="9.140625" style="1"/>
    <col min="40" max="41" width="9.140625" style="14"/>
    <col min="42" max="16384" width="9.140625" style="1"/>
  </cols>
  <sheetData>
    <row r="1" spans="1:41" ht="54.75" customHeight="1" thickBot="1">
      <c r="A1" s="16" t="s">
        <v>41</v>
      </c>
      <c r="B1" s="19"/>
      <c r="E1" s="16" t="s">
        <v>46</v>
      </c>
      <c r="G1" s="65"/>
      <c r="H1" s="65"/>
      <c r="I1" s="65"/>
      <c r="J1" s="65"/>
      <c r="K1" s="65"/>
      <c r="L1" s="65"/>
      <c r="M1" s="65"/>
      <c r="N1" s="65"/>
      <c r="O1" s="65"/>
      <c r="P1" s="65"/>
      <c r="Q1" s="65"/>
      <c r="R1" s="65"/>
      <c r="T1" s="16" t="s">
        <v>56</v>
      </c>
      <c r="Y1" s="64" t="s">
        <v>60</v>
      </c>
    </row>
    <row r="2" spans="1:41" s="38" customFormat="1" ht="30.75" customHeight="1">
      <c r="A2" s="105" t="s">
        <v>31</v>
      </c>
      <c r="B2" s="106"/>
      <c r="C2" s="106"/>
      <c r="D2" s="49">
        <v>40</v>
      </c>
      <c r="E2" s="42" t="s">
        <v>47</v>
      </c>
      <c r="F2" s="43"/>
      <c r="G2" s="43"/>
      <c r="H2" s="91" t="s">
        <v>52</v>
      </c>
      <c r="I2" s="92"/>
      <c r="J2" s="92"/>
      <c r="K2" s="92"/>
      <c r="L2" s="92"/>
      <c r="M2" s="92"/>
      <c r="N2" s="92"/>
      <c r="O2" s="92"/>
      <c r="P2" s="92"/>
      <c r="Q2" s="92"/>
      <c r="R2" s="93"/>
      <c r="T2" s="57" t="s">
        <v>58</v>
      </c>
      <c r="AN2" s="58"/>
      <c r="AO2" s="58"/>
    </row>
    <row r="3" spans="1:41" s="38" customFormat="1" ht="33.75" customHeight="1">
      <c r="A3" s="107" t="s">
        <v>32</v>
      </c>
      <c r="B3" s="108"/>
      <c r="C3" s="108"/>
      <c r="D3" s="50">
        <v>1971</v>
      </c>
      <c r="E3" s="39" t="s">
        <v>48</v>
      </c>
      <c r="F3" s="40"/>
      <c r="G3" s="41"/>
      <c r="H3" s="94" t="s">
        <v>49</v>
      </c>
      <c r="I3" s="95"/>
      <c r="J3" s="95"/>
      <c r="K3" s="95"/>
      <c r="L3" s="95"/>
      <c r="M3" s="95"/>
      <c r="N3" s="95"/>
      <c r="O3" s="95"/>
      <c r="P3" s="95"/>
      <c r="Q3" s="95"/>
      <c r="R3" s="96"/>
      <c r="T3" s="77" t="s">
        <v>59</v>
      </c>
      <c r="U3" s="77"/>
      <c r="V3" s="77"/>
      <c r="W3" s="77"/>
      <c r="X3" s="77"/>
      <c r="Y3" s="77"/>
      <c r="Z3" s="77"/>
      <c r="AA3" s="77"/>
      <c r="AB3" s="77"/>
      <c r="AC3" s="77"/>
      <c r="AD3" s="77"/>
      <c r="AE3" s="77"/>
      <c r="AF3" s="77"/>
      <c r="AG3" s="77"/>
      <c r="AH3" s="77"/>
      <c r="AN3" s="58"/>
      <c r="AO3" s="58"/>
    </row>
    <row r="4" spans="1:41" s="38" customFormat="1" ht="28.5" customHeight="1">
      <c r="A4" s="107" t="s">
        <v>34</v>
      </c>
      <c r="B4" s="108"/>
      <c r="C4" s="108"/>
      <c r="D4" s="51">
        <f>(D3+120)/365*COUNT(E10:AI10)</f>
        <v>177.59178082191781</v>
      </c>
      <c r="E4" s="44"/>
      <c r="F4" s="45" t="s">
        <v>45</v>
      </c>
      <c r="G4" s="46"/>
      <c r="H4" s="97" t="s">
        <v>50</v>
      </c>
      <c r="I4" s="98"/>
      <c r="J4" s="98"/>
      <c r="K4" s="98"/>
      <c r="L4" s="98"/>
      <c r="M4" s="98"/>
      <c r="N4" s="98"/>
      <c r="O4" s="98"/>
      <c r="P4" s="98"/>
      <c r="Q4" s="98"/>
      <c r="R4" s="99"/>
      <c r="T4" s="57" t="s">
        <v>57</v>
      </c>
      <c r="AN4" s="58"/>
      <c r="AO4" s="58"/>
    </row>
    <row r="5" spans="1:41" s="38" customFormat="1" ht="54.75" customHeight="1" thickBot="1">
      <c r="A5" s="103" t="s">
        <v>33</v>
      </c>
      <c r="B5" s="104"/>
      <c r="C5" s="104"/>
      <c r="D5" s="52">
        <v>840</v>
      </c>
      <c r="E5" s="47"/>
      <c r="F5" s="47"/>
      <c r="G5" s="48"/>
      <c r="H5" s="100" t="s">
        <v>51</v>
      </c>
      <c r="I5" s="101"/>
      <c r="J5" s="101"/>
      <c r="K5" s="101"/>
      <c r="L5" s="101"/>
      <c r="M5" s="101"/>
      <c r="N5" s="101"/>
      <c r="O5" s="101"/>
      <c r="P5" s="101"/>
      <c r="Q5" s="101"/>
      <c r="R5" s="102"/>
      <c r="T5" s="77" t="s">
        <v>61</v>
      </c>
      <c r="U5" s="77"/>
      <c r="V5" s="77"/>
      <c r="W5" s="77"/>
      <c r="X5" s="77"/>
      <c r="Y5" s="77"/>
      <c r="Z5" s="77"/>
      <c r="AA5" s="77"/>
      <c r="AB5" s="77"/>
      <c r="AC5" s="77"/>
      <c r="AD5" s="77"/>
      <c r="AE5" s="77"/>
      <c r="AF5" s="77"/>
      <c r="AG5" s="77"/>
      <c r="AH5" s="77"/>
      <c r="AN5" s="58"/>
      <c r="AO5" s="58"/>
    </row>
    <row r="6" spans="1:41" s="14" customFormat="1" ht="4.5" customHeight="1">
      <c r="A6" s="17"/>
      <c r="B6" s="17"/>
      <c r="C6" s="17"/>
      <c r="D6" s="18"/>
    </row>
    <row r="7" spans="1:41" s="14" customFormat="1" ht="21.75" customHeight="1">
      <c r="A7" s="67" t="s">
        <v>62</v>
      </c>
      <c r="B7" s="17"/>
      <c r="C7" s="17"/>
      <c r="D7" s="18"/>
    </row>
    <row r="8" spans="1:41" ht="28.5" customHeight="1">
      <c r="A8" s="66" t="s">
        <v>0</v>
      </c>
      <c r="AL8" s="82" t="s">
        <v>30</v>
      </c>
      <c r="AM8" s="83"/>
    </row>
    <row r="9" spans="1:41" s="30" customFormat="1" ht="18.75" customHeight="1">
      <c r="A9" s="78" t="s">
        <v>15</v>
      </c>
      <c r="B9" s="78" t="s">
        <v>13</v>
      </c>
      <c r="C9" s="86" t="s">
        <v>14</v>
      </c>
      <c r="D9" s="86" t="s">
        <v>1</v>
      </c>
      <c r="E9" s="29" t="s">
        <v>2</v>
      </c>
      <c r="F9" s="29" t="s">
        <v>3</v>
      </c>
      <c r="G9" s="29" t="s">
        <v>4</v>
      </c>
      <c r="H9" s="29" t="s">
        <v>5</v>
      </c>
      <c r="I9" s="29" t="s">
        <v>6</v>
      </c>
      <c r="J9" s="29" t="s">
        <v>7</v>
      </c>
      <c r="K9" s="29" t="s">
        <v>8</v>
      </c>
      <c r="L9" s="29" t="s">
        <v>2</v>
      </c>
      <c r="M9" s="29" t="s">
        <v>3</v>
      </c>
      <c r="N9" s="29" t="s">
        <v>4</v>
      </c>
      <c r="O9" s="29" t="s">
        <v>5</v>
      </c>
      <c r="P9" s="29" t="s">
        <v>6</v>
      </c>
      <c r="Q9" s="29" t="s">
        <v>7</v>
      </c>
      <c r="R9" s="29" t="s">
        <v>8</v>
      </c>
      <c r="S9" s="29" t="s">
        <v>2</v>
      </c>
      <c r="T9" s="29" t="s">
        <v>3</v>
      </c>
      <c r="U9" s="29" t="s">
        <v>4</v>
      </c>
      <c r="V9" s="29" t="s">
        <v>5</v>
      </c>
      <c r="W9" s="29" t="s">
        <v>6</v>
      </c>
      <c r="X9" s="29" t="s">
        <v>7</v>
      </c>
      <c r="Y9" s="29" t="s">
        <v>8</v>
      </c>
      <c r="Z9" s="29" t="s">
        <v>2</v>
      </c>
      <c r="AA9" s="29" t="s">
        <v>3</v>
      </c>
      <c r="AB9" s="29" t="s">
        <v>4</v>
      </c>
      <c r="AC9" s="29" t="s">
        <v>5</v>
      </c>
      <c r="AD9" s="29" t="s">
        <v>6</v>
      </c>
      <c r="AE9" s="29" t="s">
        <v>7</v>
      </c>
      <c r="AF9" s="29" t="s">
        <v>8</v>
      </c>
      <c r="AG9" s="29" t="s">
        <v>2</v>
      </c>
      <c r="AH9" s="29" t="s">
        <v>3</v>
      </c>
      <c r="AI9" s="29" t="s">
        <v>4</v>
      </c>
      <c r="AJ9" s="89" t="s">
        <v>38</v>
      </c>
      <c r="AK9" s="84" t="s">
        <v>39</v>
      </c>
      <c r="AL9" s="88" t="s">
        <v>10</v>
      </c>
      <c r="AM9" s="88" t="s">
        <v>9</v>
      </c>
      <c r="AN9" s="76" t="s">
        <v>11</v>
      </c>
      <c r="AO9" s="76" t="s">
        <v>12</v>
      </c>
    </row>
    <row r="10" spans="1:41" s="30" customFormat="1" ht="30" customHeight="1">
      <c r="A10" s="81"/>
      <c r="B10" s="79"/>
      <c r="C10" s="87"/>
      <c r="D10" s="86"/>
      <c r="E10" s="29">
        <v>1</v>
      </c>
      <c r="F10" s="29">
        <v>2</v>
      </c>
      <c r="G10" s="29">
        <v>3</v>
      </c>
      <c r="H10" s="29">
        <v>4</v>
      </c>
      <c r="I10" s="29">
        <v>5</v>
      </c>
      <c r="J10" s="29">
        <v>6</v>
      </c>
      <c r="K10" s="29">
        <v>7</v>
      </c>
      <c r="L10" s="29">
        <v>8</v>
      </c>
      <c r="M10" s="29">
        <v>9</v>
      </c>
      <c r="N10" s="29">
        <v>10</v>
      </c>
      <c r="O10" s="29">
        <v>11</v>
      </c>
      <c r="P10" s="29">
        <v>12</v>
      </c>
      <c r="Q10" s="29">
        <v>13</v>
      </c>
      <c r="R10" s="29">
        <v>14</v>
      </c>
      <c r="S10" s="29">
        <v>15</v>
      </c>
      <c r="T10" s="29">
        <v>16</v>
      </c>
      <c r="U10" s="29">
        <v>17</v>
      </c>
      <c r="V10" s="29">
        <v>18</v>
      </c>
      <c r="W10" s="29">
        <v>19</v>
      </c>
      <c r="X10" s="29">
        <v>20</v>
      </c>
      <c r="Y10" s="29">
        <v>21</v>
      </c>
      <c r="Z10" s="29">
        <v>22</v>
      </c>
      <c r="AA10" s="29">
        <v>23</v>
      </c>
      <c r="AB10" s="29">
        <v>24</v>
      </c>
      <c r="AC10" s="29">
        <v>25</v>
      </c>
      <c r="AD10" s="29">
        <v>26</v>
      </c>
      <c r="AE10" s="29">
        <v>27</v>
      </c>
      <c r="AF10" s="29">
        <v>28</v>
      </c>
      <c r="AG10" s="29">
        <v>29</v>
      </c>
      <c r="AH10" s="29">
        <v>30</v>
      </c>
      <c r="AI10" s="29">
        <v>31</v>
      </c>
      <c r="AJ10" s="90"/>
      <c r="AK10" s="85"/>
      <c r="AL10" s="88"/>
      <c r="AM10" s="88"/>
      <c r="AN10" s="76"/>
      <c r="AO10" s="76"/>
    </row>
    <row r="11" spans="1:41">
      <c r="A11" s="22" t="s">
        <v>43</v>
      </c>
      <c r="B11" s="23">
        <v>1</v>
      </c>
      <c r="C11" s="24" t="s">
        <v>25</v>
      </c>
      <c r="D11" s="24" t="s">
        <v>26</v>
      </c>
      <c r="E11" s="25">
        <v>8</v>
      </c>
      <c r="F11" s="25">
        <v>8</v>
      </c>
      <c r="G11" s="25"/>
      <c r="H11" s="25"/>
      <c r="I11" s="25">
        <v>8</v>
      </c>
      <c r="J11" s="25">
        <v>8</v>
      </c>
      <c r="K11" s="25">
        <v>8</v>
      </c>
      <c r="L11" s="25">
        <v>8</v>
      </c>
      <c r="M11" s="25"/>
      <c r="N11" s="25"/>
      <c r="O11" s="25">
        <v>8</v>
      </c>
      <c r="P11" s="25">
        <v>8</v>
      </c>
      <c r="Q11" s="25">
        <v>8</v>
      </c>
      <c r="R11" s="25">
        <v>8</v>
      </c>
      <c r="S11" s="25">
        <v>8</v>
      </c>
      <c r="T11" s="25"/>
      <c r="U11" s="25"/>
      <c r="V11" s="25">
        <v>8</v>
      </c>
      <c r="W11" s="25">
        <v>8</v>
      </c>
      <c r="X11" s="25">
        <v>8</v>
      </c>
      <c r="Y11" s="25">
        <v>8</v>
      </c>
      <c r="Z11" s="25">
        <v>8</v>
      </c>
      <c r="AA11" s="25"/>
      <c r="AB11" s="25"/>
      <c r="AC11" s="25">
        <v>8</v>
      </c>
      <c r="AD11" s="25">
        <v>8</v>
      </c>
      <c r="AE11" s="25">
        <v>8</v>
      </c>
      <c r="AF11" s="25">
        <v>8</v>
      </c>
      <c r="AG11" s="25">
        <v>8</v>
      </c>
      <c r="AH11" s="25"/>
      <c r="AI11" s="25" t="s">
        <v>24</v>
      </c>
      <c r="AJ11" s="26" t="s">
        <v>16</v>
      </c>
      <c r="AK11" s="27">
        <f>$D$4</f>
        <v>177.59178082191781</v>
      </c>
      <c r="AL11" s="28">
        <f>SUMIF(E11:AI11,"&gt;0")</f>
        <v>168</v>
      </c>
      <c r="AM11" s="28">
        <f>COUNTIF(E11:AI11,"&gt;0")</f>
        <v>21</v>
      </c>
      <c r="AN11" s="59"/>
      <c r="AO11" s="59"/>
    </row>
    <row r="12" spans="1:41">
      <c r="A12" s="22" t="s">
        <v>21</v>
      </c>
      <c r="B12" s="23">
        <v>2</v>
      </c>
      <c r="C12" s="37" t="s">
        <v>18</v>
      </c>
      <c r="D12" s="24" t="s">
        <v>19</v>
      </c>
      <c r="E12" s="25"/>
      <c r="F12" s="25"/>
      <c r="G12" s="25"/>
      <c r="H12" s="25"/>
      <c r="I12" s="25" t="s">
        <v>24</v>
      </c>
      <c r="J12" s="25" t="s">
        <v>24</v>
      </c>
      <c r="K12" s="25"/>
      <c r="L12" s="25"/>
      <c r="M12" s="25"/>
      <c r="N12" s="25"/>
      <c r="O12" s="25"/>
      <c r="P12" s="25"/>
      <c r="Q12" s="25"/>
      <c r="R12" s="25" t="s">
        <v>24</v>
      </c>
      <c r="S12" s="25"/>
      <c r="T12" s="25"/>
      <c r="U12" s="25"/>
      <c r="V12" s="25"/>
      <c r="W12" s="25"/>
      <c r="X12" s="25" t="s">
        <v>24</v>
      </c>
      <c r="Y12" s="25" t="s">
        <v>24</v>
      </c>
      <c r="Z12" s="25"/>
      <c r="AA12" s="25"/>
      <c r="AB12" s="25"/>
      <c r="AC12" s="25"/>
      <c r="AD12" s="25"/>
      <c r="AE12" s="25" t="s">
        <v>24</v>
      </c>
      <c r="AF12" s="25" t="s">
        <v>24</v>
      </c>
      <c r="AG12" s="25"/>
      <c r="AH12" s="25"/>
      <c r="AI12" s="25" t="s">
        <v>24</v>
      </c>
      <c r="AJ12" s="26" t="s">
        <v>37</v>
      </c>
      <c r="AK12" s="27">
        <f t="shared" ref="AK12:AK15" si="0">$D$4</f>
        <v>177.59178082191781</v>
      </c>
      <c r="AL12" s="28">
        <f>SUMIF(E12:AI12,"&gt;0")</f>
        <v>0</v>
      </c>
      <c r="AM12" s="28">
        <f t="shared" ref="AM12:AM15" si="1">COUNTIF(E12:AI12,"&gt;0")</f>
        <v>0</v>
      </c>
      <c r="AN12" s="59"/>
      <c r="AO12" s="59"/>
    </row>
    <row r="13" spans="1:41">
      <c r="A13" s="22" t="s">
        <v>27</v>
      </c>
      <c r="B13" s="23">
        <v>3</v>
      </c>
      <c r="C13" s="24" t="s">
        <v>18</v>
      </c>
      <c r="D13" s="24" t="s">
        <v>20</v>
      </c>
      <c r="E13" s="25"/>
      <c r="F13" s="25" t="s">
        <v>24</v>
      </c>
      <c r="G13" s="25" t="s">
        <v>24</v>
      </c>
      <c r="H13" s="25"/>
      <c r="I13" s="25"/>
      <c r="J13" s="25"/>
      <c r="K13" s="25"/>
      <c r="L13" s="25"/>
      <c r="M13" s="25" t="s">
        <v>24</v>
      </c>
      <c r="N13" s="25" t="s">
        <v>24</v>
      </c>
      <c r="O13" s="25"/>
      <c r="P13" s="25"/>
      <c r="Q13" s="25"/>
      <c r="R13" s="25"/>
      <c r="S13" s="25"/>
      <c r="T13" s="25" t="s">
        <v>24</v>
      </c>
      <c r="U13" s="25" t="s">
        <v>24</v>
      </c>
      <c r="V13" s="25"/>
      <c r="W13" s="25"/>
      <c r="X13" s="25"/>
      <c r="Y13" s="25"/>
      <c r="Z13" s="25"/>
      <c r="AA13" s="25" t="s">
        <v>24</v>
      </c>
      <c r="AB13" s="25" t="s">
        <v>24</v>
      </c>
      <c r="AC13" s="25"/>
      <c r="AD13" s="25"/>
      <c r="AE13" s="25"/>
      <c r="AF13" s="25"/>
      <c r="AG13" s="25"/>
      <c r="AH13" s="25"/>
      <c r="AI13" s="25" t="s">
        <v>24</v>
      </c>
      <c r="AJ13" s="26" t="s">
        <v>37</v>
      </c>
      <c r="AK13" s="27">
        <f t="shared" si="0"/>
        <v>177.59178082191781</v>
      </c>
      <c r="AL13" s="28">
        <f>SUMIF(E13:AI13,"&gt;0")</f>
        <v>0</v>
      </c>
      <c r="AM13" s="28">
        <f t="shared" si="1"/>
        <v>0</v>
      </c>
      <c r="AN13" s="59"/>
      <c r="AO13" s="59"/>
    </row>
    <row r="14" spans="1:41">
      <c r="A14" s="22" t="s">
        <v>28</v>
      </c>
      <c r="B14" s="23">
        <v>4</v>
      </c>
      <c r="C14" s="24" t="s">
        <v>17</v>
      </c>
      <c r="D14" s="24" t="s">
        <v>22</v>
      </c>
      <c r="E14" s="25"/>
      <c r="F14" s="25"/>
      <c r="G14" s="25"/>
      <c r="H14" s="25"/>
      <c r="I14" s="25"/>
      <c r="J14" s="25" t="s">
        <v>24</v>
      </c>
      <c r="K14" s="25" t="s">
        <v>24</v>
      </c>
      <c r="L14" s="25"/>
      <c r="M14" s="25"/>
      <c r="N14" s="25"/>
      <c r="O14" s="25"/>
      <c r="P14" s="25"/>
      <c r="Q14" s="25"/>
      <c r="R14" s="25" t="s">
        <v>24</v>
      </c>
      <c r="S14" s="25" t="s">
        <v>24</v>
      </c>
      <c r="T14" s="25"/>
      <c r="U14" s="25"/>
      <c r="V14" s="25"/>
      <c r="W14" s="25" t="s">
        <v>24</v>
      </c>
      <c r="X14" s="25"/>
      <c r="Y14" s="25"/>
      <c r="Z14" s="25"/>
      <c r="AA14" s="25"/>
      <c r="AB14" s="25"/>
      <c r="AC14" s="25" t="s">
        <v>24</v>
      </c>
      <c r="AD14" s="25" t="s">
        <v>24</v>
      </c>
      <c r="AE14" s="25"/>
      <c r="AF14" s="25"/>
      <c r="AG14" s="25"/>
      <c r="AH14" s="25"/>
      <c r="AI14" s="25" t="s">
        <v>24</v>
      </c>
      <c r="AJ14" s="26" t="s">
        <v>37</v>
      </c>
      <c r="AK14" s="27">
        <f t="shared" si="0"/>
        <v>177.59178082191781</v>
      </c>
      <c r="AL14" s="28">
        <f>SUMIF(E14:AI14,"&gt;0")</f>
        <v>0</v>
      </c>
      <c r="AM14" s="28">
        <f t="shared" si="1"/>
        <v>0</v>
      </c>
      <c r="AN14" s="59"/>
      <c r="AO14" s="59"/>
    </row>
    <row r="15" spans="1:41">
      <c r="A15" s="22" t="s">
        <v>29</v>
      </c>
      <c r="B15" s="23">
        <v>5</v>
      </c>
      <c r="C15" s="37" t="s">
        <v>17</v>
      </c>
      <c r="D15" s="24" t="s">
        <v>23</v>
      </c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5"/>
      <c r="R15" s="25"/>
      <c r="S15" s="25"/>
      <c r="T15" s="25"/>
      <c r="U15" s="25"/>
      <c r="V15" s="25"/>
      <c r="W15" s="25"/>
      <c r="X15" s="25"/>
      <c r="Y15" s="25"/>
      <c r="Z15" s="25"/>
      <c r="AA15" s="25"/>
      <c r="AB15" s="25"/>
      <c r="AC15" s="25"/>
      <c r="AD15" s="25"/>
      <c r="AE15" s="25"/>
      <c r="AF15" s="25"/>
      <c r="AG15" s="25"/>
      <c r="AH15" s="25"/>
      <c r="AI15" s="25" t="s">
        <v>24</v>
      </c>
      <c r="AJ15" s="26" t="s">
        <v>37</v>
      </c>
      <c r="AK15" s="27">
        <f t="shared" si="0"/>
        <v>177.59178082191781</v>
      </c>
      <c r="AL15" s="28">
        <f>SUMIF(E15:AI15,"&gt;0")</f>
        <v>0</v>
      </c>
      <c r="AM15" s="28">
        <f t="shared" si="1"/>
        <v>0</v>
      </c>
      <c r="AN15" s="59"/>
      <c r="AO15" s="59"/>
    </row>
    <row r="16" spans="1:41" s="5" customFormat="1" ht="14.25">
      <c r="A16" s="6" t="s">
        <v>35</v>
      </c>
      <c r="B16" s="7"/>
      <c r="C16" s="8"/>
      <c r="D16" s="8"/>
      <c r="E16" s="11">
        <f t="shared" ref="E16:AB16" si="2">COUNTIF(E11:E15,"&gt;0")</f>
        <v>1</v>
      </c>
      <c r="F16" s="11">
        <f t="shared" si="2"/>
        <v>1</v>
      </c>
      <c r="G16" s="11">
        <f t="shared" si="2"/>
        <v>0</v>
      </c>
      <c r="H16" s="11">
        <f t="shared" si="2"/>
        <v>0</v>
      </c>
      <c r="I16" s="11">
        <f t="shared" si="2"/>
        <v>1</v>
      </c>
      <c r="J16" s="11">
        <f t="shared" si="2"/>
        <v>1</v>
      </c>
      <c r="K16" s="11">
        <f t="shared" si="2"/>
        <v>1</v>
      </c>
      <c r="L16" s="11">
        <f t="shared" si="2"/>
        <v>1</v>
      </c>
      <c r="M16" s="11">
        <f t="shared" si="2"/>
        <v>0</v>
      </c>
      <c r="N16" s="11">
        <f t="shared" si="2"/>
        <v>0</v>
      </c>
      <c r="O16" s="11">
        <f t="shared" si="2"/>
        <v>1</v>
      </c>
      <c r="P16" s="11">
        <f t="shared" si="2"/>
        <v>1</v>
      </c>
      <c r="Q16" s="11">
        <f t="shared" si="2"/>
        <v>1</v>
      </c>
      <c r="R16" s="11">
        <f t="shared" si="2"/>
        <v>1</v>
      </c>
      <c r="S16" s="11">
        <f t="shared" si="2"/>
        <v>1</v>
      </c>
      <c r="T16" s="11">
        <f t="shared" si="2"/>
        <v>0</v>
      </c>
      <c r="U16" s="11">
        <f t="shared" si="2"/>
        <v>0</v>
      </c>
      <c r="V16" s="11">
        <f t="shared" si="2"/>
        <v>1</v>
      </c>
      <c r="W16" s="11">
        <f t="shared" si="2"/>
        <v>1</v>
      </c>
      <c r="X16" s="11">
        <f t="shared" si="2"/>
        <v>1</v>
      </c>
      <c r="Y16" s="11">
        <f t="shared" si="2"/>
        <v>1</v>
      </c>
      <c r="Z16" s="11">
        <f t="shared" si="2"/>
        <v>1</v>
      </c>
      <c r="AA16" s="11">
        <f t="shared" si="2"/>
        <v>0</v>
      </c>
      <c r="AB16" s="11">
        <f t="shared" si="2"/>
        <v>0</v>
      </c>
      <c r="AC16" s="11">
        <f t="shared" ref="AC16:AI16" si="3">COUNTIF(AC11:AC15,"&gt;0")</f>
        <v>1</v>
      </c>
      <c r="AD16" s="11">
        <f t="shared" si="3"/>
        <v>1</v>
      </c>
      <c r="AE16" s="11">
        <f t="shared" si="3"/>
        <v>1</v>
      </c>
      <c r="AF16" s="11">
        <f t="shared" si="3"/>
        <v>1</v>
      </c>
      <c r="AG16" s="11">
        <f t="shared" si="3"/>
        <v>1</v>
      </c>
      <c r="AH16" s="11">
        <f t="shared" si="3"/>
        <v>0</v>
      </c>
      <c r="AI16" s="11">
        <f t="shared" si="3"/>
        <v>0</v>
      </c>
      <c r="AJ16" s="13"/>
      <c r="AK16" s="9">
        <f>D5</f>
        <v>840</v>
      </c>
      <c r="AL16" s="36">
        <f>SUM(AL11:AL15)</f>
        <v>168</v>
      </c>
      <c r="AM16" s="10"/>
      <c r="AN16" s="60"/>
      <c r="AO16" s="61"/>
    </row>
    <row r="17" spans="1:41" s="2" customFormat="1" ht="3" customHeight="1">
      <c r="A17" s="2" t="s">
        <v>44</v>
      </c>
      <c r="E17" s="2">
        <v>0</v>
      </c>
      <c r="F17" s="2">
        <v>0</v>
      </c>
      <c r="G17" s="2">
        <v>0</v>
      </c>
      <c r="H17" s="2">
        <v>0</v>
      </c>
      <c r="I17" s="2">
        <v>0</v>
      </c>
      <c r="J17" s="2">
        <v>0</v>
      </c>
      <c r="K17" s="2">
        <v>0</v>
      </c>
      <c r="L17" s="2">
        <v>0</v>
      </c>
      <c r="M17" s="2">
        <v>0</v>
      </c>
      <c r="N17" s="2">
        <v>0</v>
      </c>
      <c r="O17" s="2">
        <v>0</v>
      </c>
      <c r="P17" s="2">
        <v>0</v>
      </c>
      <c r="Q17" s="2">
        <v>0</v>
      </c>
      <c r="R17" s="2">
        <v>0</v>
      </c>
      <c r="S17" s="2">
        <v>0</v>
      </c>
      <c r="T17" s="2">
        <v>0</v>
      </c>
      <c r="U17" s="2">
        <v>0</v>
      </c>
      <c r="V17" s="2">
        <v>0</v>
      </c>
      <c r="W17" s="2">
        <v>0</v>
      </c>
      <c r="X17" s="2">
        <v>0</v>
      </c>
      <c r="Y17" s="2">
        <v>0</v>
      </c>
      <c r="Z17" s="2">
        <v>0</v>
      </c>
      <c r="AA17" s="2">
        <v>0</v>
      </c>
      <c r="AB17" s="2">
        <v>0</v>
      </c>
      <c r="AC17" s="2">
        <v>0</v>
      </c>
      <c r="AD17" s="2">
        <v>0</v>
      </c>
      <c r="AE17" s="2">
        <v>0</v>
      </c>
      <c r="AF17" s="2">
        <v>0</v>
      </c>
      <c r="AG17" s="2">
        <v>0</v>
      </c>
      <c r="AH17" s="2">
        <v>0</v>
      </c>
      <c r="AI17" s="2">
        <v>0</v>
      </c>
      <c r="AN17" s="62"/>
      <c r="AO17" s="62"/>
    </row>
    <row r="20" spans="1:41" ht="33.75" customHeight="1">
      <c r="A20" s="73" t="s">
        <v>42</v>
      </c>
      <c r="B20" s="74"/>
      <c r="C20" s="74"/>
      <c r="D20" s="75"/>
    </row>
    <row r="21" spans="1:41" ht="32.25" customHeight="1">
      <c r="A21" s="80" t="s">
        <v>40</v>
      </c>
      <c r="B21" s="80"/>
      <c r="C21" s="80"/>
      <c r="D21" s="53">
        <v>8</v>
      </c>
    </row>
    <row r="22" spans="1:41" s="21" customFormat="1" ht="15.75" customHeight="1">
      <c r="A22" s="20"/>
      <c r="B22" s="20"/>
      <c r="C22" s="20"/>
      <c r="D22" s="15"/>
      <c r="AN22" s="63"/>
      <c r="AO22" s="63"/>
    </row>
    <row r="23" spans="1:41" ht="33" customHeight="1">
      <c r="A23" s="71" t="s">
        <v>55</v>
      </c>
      <c r="B23" s="72"/>
      <c r="C23" s="72"/>
      <c r="D23" s="72"/>
    </row>
    <row r="24" spans="1:41" ht="46.5" customHeight="1">
      <c r="A24" s="68" t="s">
        <v>53</v>
      </c>
      <c r="B24" s="69"/>
      <c r="C24" s="70"/>
      <c r="D24" s="56" t="s">
        <v>54</v>
      </c>
    </row>
    <row r="25" spans="1:41" ht="15" customHeight="1">
      <c r="A25" s="54" t="s">
        <v>25</v>
      </c>
      <c r="B25" s="31"/>
      <c r="C25" s="31"/>
      <c r="D25" s="55">
        <v>0</v>
      </c>
    </row>
    <row r="26" spans="1:41">
      <c r="A26" s="54" t="s">
        <v>18</v>
      </c>
      <c r="B26" s="31"/>
      <c r="C26" s="31"/>
      <c r="D26" s="55">
        <v>1</v>
      </c>
    </row>
    <row r="27" spans="1:41">
      <c r="A27" s="54" t="s">
        <v>17</v>
      </c>
      <c r="B27" s="31"/>
      <c r="C27" s="31"/>
      <c r="D27" s="55">
        <v>1</v>
      </c>
    </row>
    <row r="28" spans="1:41">
      <c r="A28"/>
      <c r="B28" s="31"/>
      <c r="C28" s="31"/>
      <c r="D28" s="32"/>
    </row>
    <row r="29" spans="1:41">
      <c r="A29"/>
      <c r="B29" s="31"/>
      <c r="C29" s="31"/>
      <c r="D29" s="32"/>
    </row>
    <row r="30" spans="1:41">
      <c r="A30" s="33"/>
      <c r="B30" s="31"/>
      <c r="C30" s="31"/>
      <c r="D30" s="32"/>
    </row>
    <row r="31" spans="1:41">
      <c r="A31" s="31"/>
      <c r="B31" s="31"/>
      <c r="C31" s="31"/>
      <c r="D31" s="32"/>
    </row>
    <row r="32" spans="1:41">
      <c r="A32" s="31"/>
      <c r="B32" s="31"/>
      <c r="C32" s="31"/>
      <c r="D32" s="32"/>
    </row>
    <row r="33" spans="1:4">
      <c r="A33" s="31"/>
      <c r="B33" s="31"/>
      <c r="C33" s="31"/>
      <c r="D33" s="32"/>
    </row>
    <row r="34" spans="1:4">
      <c r="A34" s="31"/>
      <c r="B34" s="34"/>
      <c r="C34" s="35"/>
      <c r="D34" s="35"/>
    </row>
    <row r="35" spans="1:4">
      <c r="A35" s="31"/>
      <c r="B35" s="34"/>
      <c r="C35" s="35"/>
      <c r="D35" s="35"/>
    </row>
    <row r="36" spans="1:4">
      <c r="A36" s="31"/>
      <c r="B36" s="34"/>
      <c r="C36" s="35"/>
      <c r="D36" s="35"/>
    </row>
    <row r="37" spans="1:4">
      <c r="A37" s="31"/>
      <c r="B37" s="34"/>
      <c r="C37" s="35"/>
      <c r="D37" s="35"/>
    </row>
    <row r="38" spans="1:4">
      <c r="A38" s="31"/>
      <c r="B38" s="34"/>
      <c r="C38" s="35"/>
      <c r="D38" s="35"/>
    </row>
    <row r="39" spans="1:4">
      <c r="A39" s="31"/>
      <c r="B39" s="34"/>
      <c r="C39" s="35"/>
      <c r="D39" s="35"/>
    </row>
    <row r="40" spans="1:4">
      <c r="A40" s="31"/>
      <c r="B40" s="34"/>
      <c r="C40" s="35"/>
      <c r="D40" s="35"/>
    </row>
    <row r="41" spans="1:4">
      <c r="A41" s="31"/>
      <c r="B41" s="34"/>
      <c r="C41" s="35"/>
      <c r="D41" s="35"/>
    </row>
    <row r="42" spans="1:4">
      <c r="A42" s="31"/>
      <c r="B42" s="34"/>
      <c r="C42" s="35"/>
      <c r="D42" s="35"/>
    </row>
    <row r="43" spans="1:4">
      <c r="A43" s="31"/>
      <c r="B43" s="34"/>
      <c r="C43" s="35"/>
      <c r="D43" s="35"/>
    </row>
    <row r="44" spans="1:4">
      <c r="A44" s="31"/>
      <c r="B44" s="34"/>
      <c r="C44" s="35"/>
      <c r="D44" s="35"/>
    </row>
    <row r="45" spans="1:4">
      <c r="A45" s="31"/>
      <c r="B45" s="34"/>
      <c r="C45" s="35"/>
      <c r="D45" s="35"/>
    </row>
    <row r="46" spans="1:4">
      <c r="A46" s="31"/>
      <c r="B46" s="34"/>
      <c r="C46" s="35"/>
      <c r="D46" s="35"/>
    </row>
    <row r="47" spans="1:4">
      <c r="A47" s="31"/>
      <c r="B47" s="34"/>
      <c r="C47" s="35"/>
      <c r="D47" s="35"/>
    </row>
    <row r="48" spans="1:4">
      <c r="A48" s="31"/>
      <c r="B48" s="34"/>
      <c r="C48" s="35"/>
      <c r="D48" s="35"/>
    </row>
    <row r="49" spans="1:4">
      <c r="A49" s="31"/>
      <c r="B49" s="34"/>
      <c r="C49" s="35"/>
      <c r="D49" s="35"/>
    </row>
    <row r="50" spans="1:4">
      <c r="A50" s="31"/>
      <c r="B50" s="34"/>
      <c r="C50" s="35"/>
      <c r="D50" s="35"/>
    </row>
    <row r="51" spans="1:4">
      <c r="A51" s="31"/>
      <c r="B51" s="34"/>
      <c r="C51" s="35"/>
      <c r="D51" s="35"/>
    </row>
    <row r="52" spans="1:4">
      <c r="A52" s="31"/>
      <c r="B52" s="34"/>
      <c r="C52" s="35"/>
      <c r="D52" s="35"/>
    </row>
    <row r="53" spans="1:4">
      <c r="A53" s="31"/>
      <c r="B53" s="34"/>
      <c r="C53" s="35"/>
      <c r="D53" s="35"/>
    </row>
    <row r="54" spans="1:4">
      <c r="A54" s="31"/>
      <c r="B54" s="34"/>
      <c r="C54" s="35"/>
      <c r="D54" s="35"/>
    </row>
    <row r="55" spans="1:4">
      <c r="A55" s="31"/>
      <c r="B55" s="34"/>
      <c r="C55" s="35"/>
      <c r="D55" s="35"/>
    </row>
    <row r="56" spans="1:4">
      <c r="A56" s="31"/>
      <c r="B56" s="34"/>
      <c r="C56" s="35"/>
      <c r="D56" s="35"/>
    </row>
    <row r="57" spans="1:4">
      <c r="A57" s="31"/>
      <c r="B57" s="34"/>
      <c r="C57" s="35"/>
      <c r="D57" s="35"/>
    </row>
    <row r="58" spans="1:4">
      <c r="A58" s="31"/>
      <c r="B58" s="34"/>
      <c r="C58" s="35"/>
      <c r="D58" s="35"/>
    </row>
    <row r="59" spans="1:4">
      <c r="A59" s="31"/>
      <c r="B59" s="34"/>
      <c r="C59" s="35"/>
      <c r="D59" s="35"/>
    </row>
    <row r="60" spans="1:4">
      <c r="A60" s="31"/>
      <c r="B60" s="34"/>
      <c r="C60" s="35"/>
      <c r="D60" s="35"/>
    </row>
    <row r="61" spans="1:4">
      <c r="A61" s="31"/>
      <c r="B61" s="34"/>
      <c r="C61" s="35"/>
      <c r="D61" s="35"/>
    </row>
    <row r="62" spans="1:4">
      <c r="A62" s="31"/>
      <c r="B62" s="34"/>
      <c r="C62" s="35"/>
      <c r="D62" s="35"/>
    </row>
    <row r="63" spans="1:4">
      <c r="A63" s="31"/>
      <c r="B63" s="34"/>
      <c r="C63" s="35"/>
      <c r="D63" s="35"/>
    </row>
    <row r="64" spans="1:4">
      <c r="A64" s="31"/>
      <c r="B64" s="34"/>
      <c r="C64" s="35"/>
      <c r="D64" s="35"/>
    </row>
    <row r="65" spans="1:4">
      <c r="A65" s="31"/>
      <c r="B65" s="34"/>
      <c r="C65" s="35"/>
      <c r="D65" s="35"/>
    </row>
    <row r="66" spans="1:4">
      <c r="A66" s="31"/>
      <c r="B66" s="34"/>
      <c r="C66" s="35"/>
      <c r="D66" s="35"/>
    </row>
    <row r="67" spans="1:4">
      <c r="A67" s="31"/>
      <c r="B67" s="34"/>
      <c r="C67" s="35"/>
      <c r="D67" s="35"/>
    </row>
    <row r="68" spans="1:4">
      <c r="A68" s="31"/>
      <c r="B68" s="34"/>
      <c r="C68" s="35"/>
      <c r="D68" s="35"/>
    </row>
    <row r="69" spans="1:4">
      <c r="A69" s="31"/>
      <c r="B69" s="34"/>
      <c r="C69" s="35"/>
      <c r="D69" s="35"/>
    </row>
    <row r="70" spans="1:4">
      <c r="A70" s="31"/>
      <c r="B70" s="34"/>
      <c r="C70" s="35"/>
      <c r="D70" s="35"/>
    </row>
    <row r="71" spans="1:4">
      <c r="A71" s="31"/>
      <c r="B71" s="34"/>
      <c r="C71" s="35"/>
      <c r="D71" s="35"/>
    </row>
    <row r="72" spans="1:4">
      <c r="A72" s="31"/>
      <c r="B72" s="34"/>
      <c r="C72" s="35"/>
      <c r="D72" s="35"/>
    </row>
    <row r="73" spans="1:4">
      <c r="A73" s="31"/>
      <c r="B73" s="34"/>
      <c r="C73" s="35"/>
      <c r="D73" s="35"/>
    </row>
    <row r="74" spans="1:4">
      <c r="A74" s="31"/>
      <c r="B74" s="34"/>
      <c r="C74" s="35"/>
      <c r="D74" s="35"/>
    </row>
    <row r="75" spans="1:4">
      <c r="A75" s="31"/>
      <c r="B75" s="34"/>
      <c r="C75" s="35"/>
      <c r="D75" s="35"/>
    </row>
    <row r="76" spans="1:4">
      <c r="A76" s="31"/>
      <c r="B76" s="34"/>
      <c r="C76" s="35"/>
      <c r="D76" s="35"/>
    </row>
    <row r="77" spans="1:4">
      <c r="A77" s="31"/>
      <c r="B77" s="34"/>
      <c r="C77" s="35"/>
      <c r="D77" s="35"/>
    </row>
    <row r="78" spans="1:4">
      <c r="A78" s="31"/>
      <c r="B78" s="34"/>
      <c r="C78" s="35"/>
      <c r="D78" s="35"/>
    </row>
    <row r="79" spans="1:4">
      <c r="A79" s="31"/>
      <c r="B79" s="34"/>
      <c r="C79" s="35"/>
      <c r="D79" s="35"/>
    </row>
    <row r="80" spans="1:4">
      <c r="A80" s="31"/>
      <c r="B80" s="34"/>
      <c r="C80" s="35"/>
      <c r="D80" s="35"/>
    </row>
    <row r="81" spans="1:4">
      <c r="A81" s="31"/>
      <c r="B81" s="34"/>
      <c r="C81" s="35"/>
      <c r="D81" s="35"/>
    </row>
    <row r="82" spans="1:4">
      <c r="A82" s="31"/>
      <c r="B82" s="34"/>
      <c r="C82" s="35"/>
      <c r="D82" s="35"/>
    </row>
    <row r="83" spans="1:4">
      <c r="A83" s="31"/>
      <c r="B83" s="34"/>
      <c r="C83" s="35"/>
      <c r="D83" s="35"/>
    </row>
    <row r="84" spans="1:4">
      <c r="A84" s="31"/>
      <c r="B84" s="34"/>
      <c r="C84" s="35"/>
      <c r="D84" s="35"/>
    </row>
    <row r="85" spans="1:4">
      <c r="A85" s="31"/>
      <c r="B85" s="34"/>
      <c r="C85" s="35"/>
      <c r="D85" s="35"/>
    </row>
    <row r="86" spans="1:4">
      <c r="A86" s="31"/>
      <c r="B86" s="34"/>
      <c r="C86" s="35"/>
      <c r="D86" s="35"/>
    </row>
    <row r="87" spans="1:4">
      <c r="A87" s="31"/>
      <c r="B87" s="34"/>
      <c r="C87" s="35"/>
      <c r="D87" s="35"/>
    </row>
    <row r="88" spans="1:4">
      <c r="A88" s="31"/>
      <c r="B88" s="34"/>
      <c r="C88" s="35"/>
      <c r="D88" s="35"/>
    </row>
    <row r="89" spans="1:4">
      <c r="A89" s="31"/>
      <c r="B89" s="34"/>
      <c r="C89" s="35"/>
      <c r="D89" s="35"/>
    </row>
    <row r="90" spans="1:4">
      <c r="A90" s="31"/>
      <c r="B90" s="34"/>
      <c r="C90" s="35"/>
      <c r="D90" s="35"/>
    </row>
    <row r="91" spans="1:4">
      <c r="A91" s="31"/>
      <c r="B91" s="34"/>
      <c r="C91" s="35"/>
      <c r="D91" s="35"/>
    </row>
    <row r="92" spans="1:4">
      <c r="A92" s="31"/>
      <c r="B92" s="34"/>
      <c r="C92" s="35"/>
      <c r="D92" s="35"/>
    </row>
    <row r="93" spans="1:4">
      <c r="A93" s="31"/>
      <c r="B93" s="34"/>
      <c r="C93" s="35"/>
      <c r="D93" s="35"/>
    </row>
    <row r="94" spans="1:4">
      <c r="A94" s="31"/>
      <c r="B94" s="34"/>
      <c r="C94" s="35"/>
      <c r="D94" s="35"/>
    </row>
    <row r="95" spans="1:4">
      <c r="A95" s="31"/>
      <c r="B95" s="34"/>
      <c r="C95" s="35"/>
      <c r="D95" s="35"/>
    </row>
    <row r="96" spans="1:4">
      <c r="A96" s="31"/>
      <c r="B96" s="34"/>
      <c r="C96" s="35"/>
      <c r="D96" s="35"/>
    </row>
    <row r="97" spans="1:4">
      <c r="A97" s="31"/>
      <c r="B97" s="34"/>
      <c r="C97" s="35"/>
      <c r="D97" s="35"/>
    </row>
    <row r="98" spans="1:4">
      <c r="A98" s="31"/>
      <c r="B98" s="34"/>
      <c r="C98" s="35"/>
      <c r="D98" s="35"/>
    </row>
    <row r="99" spans="1:4">
      <c r="A99" s="31"/>
      <c r="B99" s="34"/>
      <c r="C99" s="35"/>
      <c r="D99" s="35"/>
    </row>
    <row r="100" spans="1:4">
      <c r="A100" s="31"/>
      <c r="B100" s="34"/>
      <c r="C100" s="35"/>
      <c r="D100" s="35"/>
    </row>
    <row r="101" spans="1:4">
      <c r="A101" s="31"/>
      <c r="B101" s="34"/>
      <c r="C101" s="35"/>
      <c r="D101" s="35"/>
    </row>
    <row r="102" spans="1:4">
      <c r="A102" s="31"/>
      <c r="B102" s="34"/>
      <c r="C102" s="35"/>
      <c r="D102" s="35"/>
    </row>
    <row r="103" spans="1:4">
      <c r="A103" s="31"/>
      <c r="B103" s="34"/>
      <c r="C103" s="35"/>
      <c r="D103" s="35"/>
    </row>
    <row r="104" spans="1:4">
      <c r="A104" s="31"/>
      <c r="B104" s="34"/>
      <c r="C104" s="35"/>
      <c r="D104" s="35"/>
    </row>
    <row r="105" spans="1:4">
      <c r="A105" s="31"/>
      <c r="B105" s="34"/>
      <c r="C105" s="35"/>
      <c r="D105" s="35"/>
    </row>
    <row r="106" spans="1:4">
      <c r="A106" s="31"/>
      <c r="B106" s="34"/>
      <c r="C106" s="35"/>
      <c r="D106" s="35"/>
    </row>
    <row r="107" spans="1:4">
      <c r="A107" s="31"/>
      <c r="B107" s="34"/>
      <c r="C107" s="35"/>
      <c r="D107" s="35"/>
    </row>
    <row r="108" spans="1:4">
      <c r="A108" s="31"/>
      <c r="B108" s="34"/>
      <c r="C108" s="35"/>
      <c r="D108" s="35"/>
    </row>
    <row r="109" spans="1:4">
      <c r="A109" s="31"/>
      <c r="B109" s="34"/>
      <c r="C109" s="35"/>
      <c r="D109" s="35"/>
    </row>
    <row r="110" spans="1:4">
      <c r="A110" s="31"/>
      <c r="B110" s="34"/>
      <c r="C110" s="35"/>
      <c r="D110" s="35"/>
    </row>
    <row r="111" spans="1:4">
      <c r="A111" s="31"/>
      <c r="B111" s="34"/>
      <c r="C111" s="35"/>
      <c r="D111" s="35"/>
    </row>
    <row r="112" spans="1:4">
      <c r="A112" s="31"/>
      <c r="B112" s="34"/>
      <c r="C112" s="35"/>
      <c r="D112" s="35"/>
    </row>
    <row r="113" spans="1:4">
      <c r="A113" s="31"/>
      <c r="B113" s="34"/>
      <c r="C113" s="35"/>
      <c r="D113" s="35"/>
    </row>
    <row r="114" spans="1:4">
      <c r="A114" s="31"/>
      <c r="B114" s="34"/>
      <c r="C114" s="35"/>
      <c r="D114" s="35"/>
    </row>
    <row r="115" spans="1:4">
      <c r="A115" s="31"/>
      <c r="B115" s="34"/>
      <c r="C115" s="35"/>
      <c r="D115" s="35"/>
    </row>
    <row r="116" spans="1:4">
      <c r="A116" s="31"/>
      <c r="B116" s="34"/>
      <c r="C116" s="35"/>
      <c r="D116" s="35"/>
    </row>
    <row r="117" spans="1:4">
      <c r="A117" s="31"/>
      <c r="B117" s="34"/>
      <c r="C117" s="35"/>
      <c r="D117" s="35"/>
    </row>
    <row r="118" spans="1:4">
      <c r="A118" s="31"/>
      <c r="B118" s="34"/>
      <c r="C118" s="35"/>
      <c r="D118" s="35"/>
    </row>
    <row r="119" spans="1:4">
      <c r="A119" s="31"/>
      <c r="B119" s="34"/>
      <c r="C119" s="35"/>
      <c r="D119" s="35"/>
    </row>
    <row r="120" spans="1:4">
      <c r="A120" s="31"/>
      <c r="B120" s="34"/>
      <c r="C120" s="35"/>
      <c r="D120" s="35"/>
    </row>
    <row r="121" spans="1:4">
      <c r="A121" s="31"/>
      <c r="B121" s="34"/>
      <c r="C121" s="35"/>
      <c r="D121" s="35"/>
    </row>
    <row r="122" spans="1:4">
      <c r="A122" s="31"/>
      <c r="B122" s="34"/>
      <c r="C122" s="35"/>
      <c r="D122" s="35"/>
    </row>
    <row r="123" spans="1:4">
      <c r="A123" s="31"/>
      <c r="B123" s="34"/>
      <c r="C123" s="35"/>
      <c r="D123" s="35"/>
    </row>
    <row r="124" spans="1:4">
      <c r="A124" s="31"/>
      <c r="B124" s="34"/>
      <c r="C124" s="35"/>
      <c r="D124" s="35"/>
    </row>
    <row r="125" spans="1:4">
      <c r="A125" s="31"/>
      <c r="B125" s="34"/>
      <c r="C125" s="35"/>
      <c r="D125" s="35"/>
    </row>
    <row r="126" spans="1:4">
      <c r="A126" s="31"/>
      <c r="B126" s="34"/>
      <c r="C126" s="35"/>
      <c r="D126" s="35"/>
    </row>
    <row r="127" spans="1:4">
      <c r="A127" s="31"/>
      <c r="B127" s="34"/>
      <c r="C127" s="35"/>
      <c r="D127" s="35"/>
    </row>
    <row r="128" spans="1:4">
      <c r="A128" s="31"/>
      <c r="B128" s="34"/>
      <c r="C128" s="35"/>
      <c r="D128" s="35"/>
    </row>
    <row r="129" spans="1:4">
      <c r="A129" s="31"/>
      <c r="B129" s="34"/>
      <c r="C129" s="35"/>
      <c r="D129" s="35"/>
    </row>
    <row r="130" spans="1:4">
      <c r="A130" s="31"/>
      <c r="B130" s="34"/>
      <c r="C130" s="35"/>
      <c r="D130" s="35"/>
    </row>
    <row r="131" spans="1:4">
      <c r="A131" s="31"/>
      <c r="B131" s="34"/>
      <c r="C131" s="35"/>
      <c r="D131" s="35"/>
    </row>
    <row r="132" spans="1:4">
      <c r="A132" s="31"/>
      <c r="B132" s="34"/>
      <c r="C132" s="35"/>
      <c r="D132" s="35"/>
    </row>
    <row r="133" spans="1:4">
      <c r="A133" s="31"/>
      <c r="B133" s="34"/>
      <c r="C133" s="35"/>
      <c r="D133" s="35"/>
    </row>
    <row r="134" spans="1:4">
      <c r="A134" s="31"/>
      <c r="B134" s="34"/>
      <c r="C134" s="35"/>
      <c r="D134" s="35"/>
    </row>
    <row r="135" spans="1:4">
      <c r="A135" s="31"/>
      <c r="B135" s="34"/>
      <c r="C135" s="35"/>
      <c r="D135" s="35"/>
    </row>
    <row r="136" spans="1:4">
      <c r="A136" s="31"/>
      <c r="B136" s="34"/>
      <c r="C136" s="35"/>
      <c r="D136" s="35"/>
    </row>
    <row r="137" spans="1:4">
      <c r="A137" s="31"/>
      <c r="B137" s="34"/>
      <c r="C137" s="35"/>
      <c r="D137" s="35"/>
    </row>
    <row r="138" spans="1:4">
      <c r="A138" s="31"/>
      <c r="B138" s="34"/>
      <c r="C138" s="35"/>
      <c r="D138" s="35"/>
    </row>
    <row r="139" spans="1:4">
      <c r="A139" s="31"/>
      <c r="B139" s="34"/>
      <c r="C139" s="35"/>
      <c r="D139" s="35"/>
    </row>
    <row r="140" spans="1:4">
      <c r="A140" s="31"/>
      <c r="B140" s="34"/>
      <c r="C140" s="35"/>
      <c r="D140" s="35"/>
    </row>
    <row r="141" spans="1:4">
      <c r="A141" s="31"/>
      <c r="B141" s="34"/>
      <c r="C141" s="35"/>
      <c r="D141" s="35"/>
    </row>
    <row r="142" spans="1:4">
      <c r="A142" s="31"/>
      <c r="B142" s="34"/>
      <c r="C142" s="35"/>
      <c r="D142" s="35"/>
    </row>
    <row r="143" spans="1:4">
      <c r="A143" s="31"/>
      <c r="B143" s="34"/>
      <c r="C143" s="35"/>
      <c r="D143" s="35"/>
    </row>
    <row r="144" spans="1:4">
      <c r="A144" s="31"/>
      <c r="B144" s="34"/>
      <c r="C144" s="35"/>
      <c r="D144" s="35"/>
    </row>
    <row r="145" spans="1:4">
      <c r="A145" s="31"/>
      <c r="B145" s="34"/>
      <c r="C145" s="35"/>
      <c r="D145" s="35"/>
    </row>
    <row r="146" spans="1:4">
      <c r="A146" s="31"/>
      <c r="B146" s="34"/>
      <c r="C146" s="35"/>
      <c r="D146" s="35"/>
    </row>
    <row r="147" spans="1:4">
      <c r="A147" s="31"/>
      <c r="B147" s="34"/>
      <c r="C147" s="35"/>
      <c r="D147" s="35"/>
    </row>
    <row r="148" spans="1:4">
      <c r="A148" s="31"/>
      <c r="B148" s="34"/>
      <c r="C148" s="35"/>
      <c r="D148" s="35"/>
    </row>
    <row r="149" spans="1:4">
      <c r="A149" s="35"/>
      <c r="B149" s="34"/>
      <c r="C149" s="35"/>
      <c r="D149" s="35"/>
    </row>
    <row r="150" spans="1:4">
      <c r="A150" s="35"/>
      <c r="B150" s="34"/>
      <c r="C150" s="35"/>
      <c r="D150" s="35"/>
    </row>
    <row r="151" spans="1:4">
      <c r="A151" s="35"/>
      <c r="B151" s="34"/>
      <c r="C151" s="35"/>
      <c r="D151" s="35"/>
    </row>
    <row r="152" spans="1:4">
      <c r="A152" s="35"/>
      <c r="B152" s="34"/>
      <c r="C152" s="35"/>
      <c r="D152" s="35"/>
    </row>
    <row r="153" spans="1:4">
      <c r="A153" s="35"/>
      <c r="B153" s="34"/>
      <c r="C153" s="35"/>
      <c r="D153" s="35"/>
    </row>
    <row r="154" spans="1:4">
      <c r="A154" s="35"/>
      <c r="B154" s="34"/>
      <c r="C154" s="35"/>
      <c r="D154" s="35"/>
    </row>
    <row r="155" spans="1:4">
      <c r="A155" s="35"/>
      <c r="B155" s="34"/>
      <c r="C155" s="35"/>
      <c r="D155" s="35"/>
    </row>
    <row r="156" spans="1:4">
      <c r="A156" s="35"/>
      <c r="B156" s="34"/>
      <c r="C156" s="35"/>
      <c r="D156" s="35"/>
    </row>
    <row r="157" spans="1:4">
      <c r="A157" s="35"/>
      <c r="B157" s="34"/>
      <c r="C157" s="35"/>
      <c r="D157" s="35"/>
    </row>
    <row r="158" spans="1:4">
      <c r="A158" s="35"/>
      <c r="B158" s="34"/>
      <c r="C158" s="35"/>
      <c r="D158" s="35"/>
    </row>
    <row r="159" spans="1:4">
      <c r="A159" s="35"/>
      <c r="B159" s="34"/>
      <c r="C159" s="35"/>
      <c r="D159" s="35"/>
    </row>
    <row r="160" spans="1:4">
      <c r="A160" s="35"/>
      <c r="B160" s="34"/>
      <c r="C160" s="35"/>
      <c r="D160" s="35"/>
    </row>
    <row r="161" spans="1:4">
      <c r="A161" s="35"/>
      <c r="B161" s="34"/>
      <c r="C161" s="35"/>
      <c r="D161" s="35"/>
    </row>
    <row r="162" spans="1:4">
      <c r="A162" s="35"/>
      <c r="B162" s="34"/>
      <c r="C162" s="35"/>
      <c r="D162" s="35"/>
    </row>
    <row r="163" spans="1:4">
      <c r="A163" s="35"/>
      <c r="B163" s="34"/>
      <c r="C163" s="35"/>
      <c r="D163" s="35"/>
    </row>
    <row r="164" spans="1:4">
      <c r="A164" s="35"/>
      <c r="B164" s="34"/>
      <c r="C164" s="35"/>
      <c r="D164" s="35"/>
    </row>
    <row r="165" spans="1:4">
      <c r="A165" s="35"/>
      <c r="B165" s="34"/>
      <c r="C165" s="35"/>
      <c r="D165" s="35"/>
    </row>
    <row r="166" spans="1:4">
      <c r="A166" s="35"/>
      <c r="B166" s="34"/>
      <c r="C166" s="35"/>
      <c r="D166" s="35"/>
    </row>
    <row r="167" spans="1:4">
      <c r="A167" s="35"/>
      <c r="B167" s="34"/>
      <c r="C167" s="35"/>
      <c r="D167" s="35"/>
    </row>
    <row r="168" spans="1:4">
      <c r="A168" s="35"/>
      <c r="B168" s="34"/>
      <c r="C168" s="35"/>
      <c r="D168" s="35"/>
    </row>
    <row r="169" spans="1:4">
      <c r="A169" s="35"/>
      <c r="B169" s="34"/>
      <c r="C169" s="35"/>
      <c r="D169" s="35"/>
    </row>
    <row r="170" spans="1:4">
      <c r="A170" s="35"/>
      <c r="B170" s="34"/>
      <c r="C170" s="35"/>
      <c r="D170" s="35"/>
    </row>
    <row r="171" spans="1:4">
      <c r="A171" s="35"/>
      <c r="B171" s="34"/>
      <c r="C171" s="35"/>
      <c r="D171" s="35"/>
    </row>
    <row r="172" spans="1:4">
      <c r="A172" s="35"/>
      <c r="B172" s="34"/>
      <c r="C172" s="35"/>
      <c r="D172" s="35"/>
    </row>
    <row r="173" spans="1:4">
      <c r="A173" s="35"/>
      <c r="B173" s="34"/>
      <c r="C173" s="35"/>
      <c r="D173" s="35"/>
    </row>
    <row r="174" spans="1:4">
      <c r="A174" s="35"/>
      <c r="B174" s="34"/>
      <c r="C174" s="35"/>
      <c r="D174" s="35"/>
    </row>
    <row r="175" spans="1:4">
      <c r="A175" s="35"/>
      <c r="B175" s="34"/>
      <c r="C175" s="35"/>
      <c r="D175" s="35"/>
    </row>
    <row r="176" spans="1:4">
      <c r="A176" s="35"/>
      <c r="B176" s="34"/>
      <c r="C176" s="35"/>
      <c r="D176" s="35"/>
    </row>
    <row r="177" spans="1:4">
      <c r="A177" s="35"/>
      <c r="B177" s="34"/>
      <c r="C177" s="35"/>
      <c r="D177" s="35"/>
    </row>
    <row r="178" spans="1:4">
      <c r="A178" s="35"/>
      <c r="B178" s="34"/>
      <c r="C178" s="35"/>
      <c r="D178" s="35"/>
    </row>
    <row r="179" spans="1:4">
      <c r="A179" s="35"/>
      <c r="B179" s="34"/>
      <c r="C179" s="35"/>
      <c r="D179" s="35"/>
    </row>
    <row r="180" spans="1:4">
      <c r="A180" s="35"/>
      <c r="B180" s="34"/>
      <c r="C180" s="35"/>
      <c r="D180" s="35"/>
    </row>
    <row r="181" spans="1:4">
      <c r="A181" s="35"/>
      <c r="B181" s="34"/>
      <c r="C181" s="35"/>
      <c r="D181" s="35"/>
    </row>
    <row r="182" spans="1:4">
      <c r="A182" s="35"/>
      <c r="B182" s="34"/>
      <c r="C182" s="35"/>
      <c r="D182" s="35"/>
    </row>
    <row r="183" spans="1:4">
      <c r="A183" s="35"/>
      <c r="B183" s="34"/>
      <c r="C183" s="35"/>
      <c r="D183" s="35"/>
    </row>
    <row r="184" spans="1:4">
      <c r="A184" s="35"/>
      <c r="B184" s="34"/>
      <c r="C184" s="35"/>
      <c r="D184" s="35"/>
    </row>
    <row r="185" spans="1:4">
      <c r="A185" s="35"/>
      <c r="B185" s="34"/>
      <c r="C185" s="35"/>
      <c r="D185" s="35"/>
    </row>
    <row r="186" spans="1:4">
      <c r="A186" s="35"/>
      <c r="B186" s="34"/>
      <c r="C186" s="35"/>
      <c r="D186" s="35"/>
    </row>
    <row r="187" spans="1:4">
      <c r="A187" s="35"/>
      <c r="B187" s="34"/>
      <c r="C187" s="35"/>
      <c r="D187" s="35"/>
    </row>
    <row r="188" spans="1:4">
      <c r="A188" s="35"/>
      <c r="B188" s="34"/>
      <c r="C188" s="35"/>
      <c r="D188" s="35"/>
    </row>
    <row r="189" spans="1:4">
      <c r="A189" s="35"/>
      <c r="B189" s="34"/>
      <c r="C189" s="35"/>
      <c r="D189" s="35"/>
    </row>
    <row r="190" spans="1:4">
      <c r="A190" s="35"/>
      <c r="B190" s="34"/>
      <c r="C190" s="35"/>
      <c r="D190" s="35"/>
    </row>
    <row r="191" spans="1:4">
      <c r="A191" s="35"/>
      <c r="B191" s="34"/>
      <c r="C191" s="35"/>
      <c r="D191" s="35"/>
    </row>
    <row r="192" spans="1:4">
      <c r="A192" s="35"/>
      <c r="B192" s="34"/>
      <c r="C192" s="35"/>
      <c r="D192" s="35"/>
    </row>
    <row r="193" spans="1:4">
      <c r="A193" s="35"/>
      <c r="B193" s="34"/>
      <c r="C193" s="35"/>
      <c r="D193" s="35"/>
    </row>
    <row r="194" spans="1:4">
      <c r="A194" s="35"/>
      <c r="B194" s="34"/>
      <c r="C194" s="35"/>
      <c r="D194" s="35"/>
    </row>
    <row r="195" spans="1:4">
      <c r="A195" s="35"/>
      <c r="B195" s="34"/>
      <c r="C195" s="35"/>
      <c r="D195" s="35"/>
    </row>
    <row r="196" spans="1:4">
      <c r="A196" s="35"/>
      <c r="B196" s="34"/>
      <c r="C196" s="35"/>
      <c r="D196" s="35"/>
    </row>
    <row r="197" spans="1:4">
      <c r="A197" s="35"/>
      <c r="B197" s="34"/>
      <c r="C197" s="35"/>
      <c r="D197" s="35"/>
    </row>
    <row r="198" spans="1:4">
      <c r="A198" s="35"/>
      <c r="B198" s="34"/>
      <c r="C198" s="35"/>
      <c r="D198" s="35"/>
    </row>
    <row r="199" spans="1:4">
      <c r="A199" s="35"/>
      <c r="B199" s="34"/>
      <c r="C199" s="35"/>
      <c r="D199" s="35"/>
    </row>
    <row r="200" spans="1:4">
      <c r="A200" s="35"/>
      <c r="B200" s="34"/>
      <c r="C200" s="35"/>
      <c r="D200" s="35"/>
    </row>
    <row r="201" spans="1:4">
      <c r="A201" s="35"/>
      <c r="B201" s="34"/>
      <c r="C201" s="35"/>
      <c r="D201" s="35"/>
    </row>
    <row r="202" spans="1:4">
      <c r="A202" s="35"/>
      <c r="B202" s="34"/>
      <c r="C202" s="35"/>
      <c r="D202" s="35"/>
    </row>
    <row r="203" spans="1:4">
      <c r="A203" s="35"/>
      <c r="B203" s="34"/>
      <c r="C203" s="35"/>
      <c r="D203" s="35"/>
    </row>
    <row r="204" spans="1:4">
      <c r="A204" s="35"/>
      <c r="B204" s="34"/>
      <c r="C204" s="35"/>
      <c r="D204" s="35"/>
    </row>
    <row r="205" spans="1:4">
      <c r="A205" s="35"/>
      <c r="B205" s="34"/>
      <c r="C205" s="35"/>
      <c r="D205" s="35"/>
    </row>
    <row r="206" spans="1:4">
      <c r="A206" s="35"/>
      <c r="B206" s="34"/>
      <c r="C206" s="35"/>
      <c r="D206" s="35"/>
    </row>
    <row r="207" spans="1:4">
      <c r="A207" s="35"/>
      <c r="B207" s="34"/>
      <c r="C207" s="35"/>
      <c r="D207" s="35"/>
    </row>
    <row r="208" spans="1:4">
      <c r="A208" s="35"/>
      <c r="B208" s="34"/>
      <c r="C208" s="35"/>
      <c r="D208" s="35"/>
    </row>
    <row r="209" spans="1:4">
      <c r="A209" s="35"/>
      <c r="B209" s="34"/>
      <c r="C209" s="35"/>
      <c r="D209" s="35"/>
    </row>
    <row r="210" spans="1:4">
      <c r="A210" s="35"/>
      <c r="B210" s="34"/>
      <c r="C210" s="35"/>
      <c r="D210" s="35"/>
    </row>
    <row r="211" spans="1:4">
      <c r="A211" s="35"/>
      <c r="B211" s="34"/>
      <c r="C211" s="35"/>
      <c r="D211" s="35"/>
    </row>
    <row r="212" spans="1:4">
      <c r="A212" s="35"/>
      <c r="B212" s="34"/>
      <c r="C212" s="35"/>
      <c r="D212" s="35"/>
    </row>
    <row r="213" spans="1:4">
      <c r="A213" s="35"/>
      <c r="B213" s="34"/>
      <c r="C213" s="35"/>
      <c r="D213" s="35"/>
    </row>
    <row r="214" spans="1:4">
      <c r="A214" s="35"/>
      <c r="B214" s="34"/>
      <c r="C214" s="35"/>
      <c r="D214" s="35"/>
    </row>
    <row r="215" spans="1:4">
      <c r="A215" s="35"/>
      <c r="B215" s="34"/>
      <c r="C215" s="35"/>
      <c r="D215" s="35"/>
    </row>
    <row r="216" spans="1:4">
      <c r="A216" s="35"/>
      <c r="B216" s="34"/>
      <c r="C216" s="35"/>
      <c r="D216" s="35"/>
    </row>
    <row r="217" spans="1:4">
      <c r="A217" s="35"/>
      <c r="B217" s="34"/>
      <c r="C217" s="35"/>
      <c r="D217" s="35"/>
    </row>
    <row r="218" spans="1:4">
      <c r="A218" s="35"/>
      <c r="B218" s="34"/>
      <c r="C218" s="35"/>
      <c r="D218" s="35"/>
    </row>
    <row r="219" spans="1:4">
      <c r="A219" s="35"/>
      <c r="B219" s="34"/>
      <c r="C219" s="35"/>
      <c r="D219" s="35"/>
    </row>
    <row r="220" spans="1:4">
      <c r="A220" s="35"/>
      <c r="B220" s="34"/>
      <c r="C220" s="35"/>
      <c r="D220" s="35"/>
    </row>
    <row r="221" spans="1:4">
      <c r="A221" s="35"/>
      <c r="B221" s="34"/>
      <c r="C221" s="35"/>
      <c r="D221" s="35"/>
    </row>
    <row r="222" spans="1:4">
      <c r="A222" s="35"/>
      <c r="B222" s="34"/>
      <c r="C222" s="35"/>
      <c r="D222" s="35"/>
    </row>
    <row r="223" spans="1:4">
      <c r="A223" s="35"/>
      <c r="B223" s="34"/>
      <c r="C223" s="35"/>
      <c r="D223" s="35"/>
    </row>
    <row r="224" spans="1:4">
      <c r="A224" s="35"/>
      <c r="B224" s="34"/>
      <c r="C224" s="35"/>
      <c r="D224" s="35"/>
    </row>
    <row r="225" spans="1:4">
      <c r="A225" s="35"/>
      <c r="B225" s="34"/>
      <c r="C225" s="35"/>
      <c r="D225" s="35"/>
    </row>
    <row r="226" spans="1:4">
      <c r="A226" s="35"/>
      <c r="B226" s="34"/>
      <c r="C226" s="35"/>
      <c r="D226" s="35"/>
    </row>
    <row r="227" spans="1:4">
      <c r="A227" s="35"/>
      <c r="B227" s="34"/>
      <c r="C227" s="35"/>
      <c r="D227" s="35"/>
    </row>
    <row r="228" spans="1:4">
      <c r="A228" s="35"/>
      <c r="B228" s="34"/>
      <c r="C228" s="35"/>
      <c r="D228" s="35"/>
    </row>
    <row r="229" spans="1:4">
      <c r="A229" s="35"/>
      <c r="B229" s="34"/>
      <c r="C229" s="35"/>
      <c r="D229" s="35"/>
    </row>
    <row r="230" spans="1:4">
      <c r="A230" s="35"/>
      <c r="B230" s="34"/>
      <c r="C230" s="35"/>
      <c r="D230" s="35"/>
    </row>
    <row r="231" spans="1:4">
      <c r="A231" s="35"/>
      <c r="B231" s="34"/>
      <c r="C231" s="35"/>
      <c r="D231" s="35"/>
    </row>
    <row r="232" spans="1:4">
      <c r="A232" s="35"/>
      <c r="B232" s="34"/>
      <c r="C232" s="35"/>
      <c r="D232" s="35"/>
    </row>
    <row r="233" spans="1:4">
      <c r="A233" s="35"/>
      <c r="B233" s="34"/>
      <c r="C233" s="35"/>
      <c r="D233" s="35"/>
    </row>
    <row r="234" spans="1:4">
      <c r="A234" s="35"/>
      <c r="B234" s="34"/>
      <c r="C234" s="35"/>
      <c r="D234" s="35"/>
    </row>
    <row r="235" spans="1:4">
      <c r="A235" s="35"/>
      <c r="B235" s="34"/>
      <c r="C235" s="35"/>
      <c r="D235" s="35"/>
    </row>
    <row r="236" spans="1:4">
      <c r="A236" s="35"/>
      <c r="B236" s="34"/>
      <c r="C236" s="35"/>
      <c r="D236" s="35"/>
    </row>
    <row r="237" spans="1:4">
      <c r="A237" s="35"/>
      <c r="B237" s="34"/>
      <c r="C237" s="35"/>
      <c r="D237" s="35"/>
    </row>
    <row r="238" spans="1:4">
      <c r="A238" s="35"/>
      <c r="B238" s="34"/>
      <c r="C238" s="35"/>
      <c r="D238" s="35"/>
    </row>
    <row r="239" spans="1:4">
      <c r="A239" s="35"/>
      <c r="B239" s="34"/>
      <c r="C239" s="35"/>
      <c r="D239" s="35"/>
    </row>
    <row r="240" spans="1:4">
      <c r="A240" s="35"/>
      <c r="B240" s="34"/>
      <c r="C240" s="35"/>
      <c r="D240" s="35"/>
    </row>
    <row r="241" spans="1:4">
      <c r="A241" s="35"/>
      <c r="B241" s="34"/>
      <c r="C241" s="35"/>
      <c r="D241" s="35"/>
    </row>
    <row r="242" spans="1:4">
      <c r="A242" s="35"/>
      <c r="B242" s="34"/>
      <c r="C242" s="35"/>
      <c r="D242" s="35"/>
    </row>
    <row r="243" spans="1:4">
      <c r="A243" s="35"/>
      <c r="B243" s="34"/>
      <c r="C243" s="35"/>
      <c r="D243" s="35"/>
    </row>
    <row r="244" spans="1:4">
      <c r="A244" s="35"/>
      <c r="B244" s="34"/>
      <c r="C244" s="35"/>
      <c r="D244" s="35"/>
    </row>
    <row r="245" spans="1:4">
      <c r="A245" s="35"/>
      <c r="B245" s="34"/>
      <c r="C245" s="35"/>
      <c r="D245" s="35"/>
    </row>
    <row r="246" spans="1:4">
      <c r="A246" s="35"/>
      <c r="B246" s="34"/>
      <c r="C246" s="35"/>
      <c r="D246" s="35"/>
    </row>
    <row r="247" spans="1:4">
      <c r="A247" s="35"/>
      <c r="B247" s="34"/>
      <c r="C247" s="35"/>
      <c r="D247" s="35"/>
    </row>
    <row r="248" spans="1:4">
      <c r="A248" s="35"/>
      <c r="B248" s="34"/>
      <c r="C248" s="35"/>
      <c r="D248" s="35"/>
    </row>
    <row r="249" spans="1:4">
      <c r="A249" s="35"/>
      <c r="B249" s="34"/>
      <c r="C249" s="35"/>
      <c r="D249" s="35"/>
    </row>
    <row r="250" spans="1:4">
      <c r="A250" s="35"/>
      <c r="B250" s="34"/>
      <c r="C250" s="35"/>
      <c r="D250" s="35"/>
    </row>
    <row r="251" spans="1:4">
      <c r="A251" s="35"/>
      <c r="B251" s="34"/>
      <c r="C251" s="35"/>
      <c r="D251" s="35"/>
    </row>
    <row r="252" spans="1:4">
      <c r="A252" s="35"/>
      <c r="B252" s="34"/>
      <c r="C252" s="35"/>
      <c r="D252" s="35"/>
    </row>
    <row r="253" spans="1:4">
      <c r="A253" s="35"/>
      <c r="B253" s="34"/>
      <c r="C253" s="35"/>
      <c r="D253" s="35"/>
    </row>
    <row r="254" spans="1:4">
      <c r="A254" s="35"/>
      <c r="B254" s="34"/>
      <c r="C254" s="35"/>
      <c r="D254" s="35"/>
    </row>
    <row r="255" spans="1:4">
      <c r="A255" s="35"/>
      <c r="B255" s="34"/>
      <c r="C255" s="35"/>
      <c r="D255" s="35"/>
    </row>
    <row r="256" spans="1:4">
      <c r="A256" s="35"/>
      <c r="B256" s="34"/>
      <c r="C256" s="35"/>
      <c r="D256" s="35"/>
    </row>
    <row r="257" spans="1:4">
      <c r="A257" s="35"/>
      <c r="B257" s="34"/>
      <c r="C257" s="35"/>
      <c r="D257" s="35"/>
    </row>
    <row r="258" spans="1:4">
      <c r="A258" s="35"/>
      <c r="B258" s="34"/>
      <c r="C258" s="35"/>
      <c r="D258" s="35"/>
    </row>
    <row r="259" spans="1:4">
      <c r="A259" s="35"/>
      <c r="B259" s="34"/>
      <c r="C259" s="35"/>
      <c r="D259" s="35"/>
    </row>
    <row r="260" spans="1:4">
      <c r="A260" s="35"/>
      <c r="B260" s="34"/>
      <c r="C260" s="35"/>
      <c r="D260" s="35"/>
    </row>
    <row r="261" spans="1:4">
      <c r="A261" s="35"/>
      <c r="B261" s="34"/>
      <c r="C261" s="35"/>
      <c r="D261" s="35"/>
    </row>
    <row r="262" spans="1:4">
      <c r="A262" s="35"/>
      <c r="B262" s="34"/>
      <c r="C262" s="35"/>
      <c r="D262" s="35"/>
    </row>
    <row r="263" spans="1:4">
      <c r="A263" s="35"/>
      <c r="B263" s="34"/>
      <c r="C263" s="35"/>
      <c r="D263" s="35"/>
    </row>
    <row r="264" spans="1:4">
      <c r="A264" s="35"/>
      <c r="B264" s="34"/>
      <c r="C264" s="35"/>
      <c r="D264" s="35"/>
    </row>
    <row r="265" spans="1:4">
      <c r="A265" s="35"/>
      <c r="B265" s="34"/>
      <c r="C265" s="35"/>
      <c r="D265" s="35"/>
    </row>
    <row r="266" spans="1:4">
      <c r="A266" s="35"/>
      <c r="B266" s="34"/>
      <c r="C266" s="35"/>
      <c r="D266" s="35"/>
    </row>
    <row r="267" spans="1:4">
      <c r="A267" s="35"/>
      <c r="B267" s="34"/>
      <c r="C267" s="35"/>
      <c r="D267" s="35"/>
    </row>
    <row r="268" spans="1:4">
      <c r="A268" s="35"/>
      <c r="B268" s="34"/>
      <c r="C268" s="35"/>
      <c r="D268" s="35"/>
    </row>
    <row r="269" spans="1:4">
      <c r="A269" s="35"/>
      <c r="B269" s="34"/>
      <c r="C269" s="35"/>
      <c r="D269" s="35"/>
    </row>
    <row r="270" spans="1:4">
      <c r="A270" s="35"/>
      <c r="B270" s="34"/>
      <c r="C270" s="35"/>
      <c r="D270" s="35"/>
    </row>
    <row r="271" spans="1:4">
      <c r="A271" s="35"/>
      <c r="B271" s="34"/>
      <c r="C271" s="35"/>
      <c r="D271" s="35"/>
    </row>
    <row r="272" spans="1:4">
      <c r="A272" s="35"/>
      <c r="B272" s="34"/>
      <c r="C272" s="35"/>
      <c r="D272" s="35"/>
    </row>
    <row r="273" spans="1:4">
      <c r="A273" s="35"/>
      <c r="B273" s="34"/>
      <c r="C273" s="35"/>
      <c r="D273" s="35"/>
    </row>
    <row r="274" spans="1:4">
      <c r="A274" s="35"/>
      <c r="B274" s="34"/>
      <c r="C274" s="35"/>
      <c r="D274" s="35"/>
    </row>
    <row r="275" spans="1:4">
      <c r="A275" s="35"/>
      <c r="B275" s="34"/>
      <c r="C275" s="35"/>
      <c r="D275" s="35"/>
    </row>
    <row r="276" spans="1:4">
      <c r="A276" s="35"/>
      <c r="B276" s="34"/>
      <c r="C276" s="35"/>
      <c r="D276" s="35"/>
    </row>
    <row r="277" spans="1:4">
      <c r="A277" s="35"/>
      <c r="B277" s="34"/>
      <c r="C277" s="35"/>
      <c r="D277" s="35"/>
    </row>
    <row r="278" spans="1:4">
      <c r="A278" s="35"/>
      <c r="B278" s="34"/>
      <c r="C278" s="35"/>
      <c r="D278" s="35"/>
    </row>
    <row r="279" spans="1:4">
      <c r="A279" s="35"/>
      <c r="B279" s="34"/>
      <c r="C279" s="35"/>
      <c r="D279" s="35"/>
    </row>
    <row r="280" spans="1:4">
      <c r="A280" s="35"/>
      <c r="B280" s="34"/>
      <c r="C280" s="35"/>
      <c r="D280" s="35"/>
    </row>
    <row r="281" spans="1:4">
      <c r="A281" s="35"/>
      <c r="B281" s="34"/>
      <c r="C281" s="35"/>
      <c r="D281" s="35"/>
    </row>
    <row r="282" spans="1:4">
      <c r="A282" s="35"/>
      <c r="B282" s="34"/>
      <c r="C282" s="35"/>
      <c r="D282" s="35"/>
    </row>
    <row r="283" spans="1:4">
      <c r="A283" s="35"/>
      <c r="B283" s="34"/>
      <c r="C283" s="35"/>
      <c r="D283" s="35"/>
    </row>
    <row r="284" spans="1:4">
      <c r="A284" s="35"/>
      <c r="B284" s="34"/>
      <c r="C284" s="35"/>
      <c r="D284" s="35"/>
    </row>
    <row r="285" spans="1:4">
      <c r="A285" s="35"/>
      <c r="B285" s="34"/>
      <c r="C285" s="35"/>
      <c r="D285" s="35"/>
    </row>
    <row r="286" spans="1:4">
      <c r="A286" s="35"/>
      <c r="B286" s="34"/>
      <c r="C286" s="35"/>
      <c r="D286" s="35"/>
    </row>
    <row r="287" spans="1:4">
      <c r="A287" s="35"/>
      <c r="B287" s="34"/>
      <c r="C287" s="35"/>
      <c r="D287" s="35"/>
    </row>
    <row r="288" spans="1:4">
      <c r="A288" s="35"/>
      <c r="B288" s="34"/>
      <c r="C288" s="35"/>
      <c r="D288" s="35"/>
    </row>
    <row r="289" spans="1:4">
      <c r="A289" s="35"/>
      <c r="B289" s="34"/>
      <c r="C289" s="35"/>
      <c r="D289" s="35"/>
    </row>
    <row r="290" spans="1:4">
      <c r="A290" s="35"/>
      <c r="B290" s="34"/>
      <c r="C290" s="35"/>
      <c r="D290" s="35"/>
    </row>
    <row r="291" spans="1:4">
      <c r="A291" s="35"/>
      <c r="B291" s="34"/>
      <c r="C291" s="35"/>
      <c r="D291" s="35"/>
    </row>
    <row r="292" spans="1:4">
      <c r="A292" s="35"/>
      <c r="B292" s="34"/>
      <c r="C292" s="35"/>
      <c r="D292" s="35"/>
    </row>
    <row r="293" spans="1:4">
      <c r="A293" s="35"/>
      <c r="B293" s="34"/>
      <c r="C293" s="35"/>
      <c r="D293" s="35"/>
    </row>
    <row r="294" spans="1:4">
      <c r="A294" s="35"/>
      <c r="B294" s="34"/>
      <c r="C294" s="35"/>
      <c r="D294" s="35"/>
    </row>
    <row r="295" spans="1:4">
      <c r="A295" s="35"/>
      <c r="B295" s="34"/>
      <c r="C295" s="35"/>
      <c r="D295" s="35"/>
    </row>
    <row r="296" spans="1:4">
      <c r="A296" s="35"/>
      <c r="B296" s="34"/>
      <c r="C296" s="35"/>
      <c r="D296" s="35"/>
    </row>
    <row r="297" spans="1:4">
      <c r="A297" s="35"/>
      <c r="B297" s="34"/>
      <c r="C297" s="35"/>
      <c r="D297" s="35"/>
    </row>
    <row r="298" spans="1:4">
      <c r="A298" s="35"/>
      <c r="B298" s="34"/>
      <c r="C298" s="35"/>
      <c r="D298" s="35"/>
    </row>
    <row r="299" spans="1:4">
      <c r="A299" s="35"/>
      <c r="B299" s="34"/>
      <c r="C299" s="35"/>
      <c r="D299" s="35"/>
    </row>
    <row r="300" spans="1:4">
      <c r="A300" s="35"/>
      <c r="B300" s="34"/>
      <c r="C300" s="35"/>
      <c r="D300" s="35"/>
    </row>
    <row r="301" spans="1:4">
      <c r="A301" s="35"/>
      <c r="B301" s="34"/>
      <c r="C301" s="35"/>
      <c r="D301" s="35"/>
    </row>
    <row r="302" spans="1:4">
      <c r="A302" s="35"/>
      <c r="B302" s="34"/>
      <c r="C302" s="35"/>
      <c r="D302" s="35"/>
    </row>
    <row r="303" spans="1:4">
      <c r="A303" s="35"/>
      <c r="B303" s="34"/>
      <c r="C303" s="35"/>
      <c r="D303" s="35"/>
    </row>
    <row r="304" spans="1:4">
      <c r="A304" s="35"/>
      <c r="B304" s="34"/>
      <c r="C304" s="35"/>
      <c r="D304" s="35"/>
    </row>
    <row r="305" spans="1:4">
      <c r="A305" s="35"/>
      <c r="B305" s="34"/>
      <c r="C305" s="35"/>
      <c r="D305" s="35"/>
    </row>
    <row r="306" spans="1:4">
      <c r="A306" s="35"/>
      <c r="B306" s="34"/>
      <c r="C306" s="35"/>
      <c r="D306" s="35"/>
    </row>
    <row r="307" spans="1:4">
      <c r="A307" s="35"/>
      <c r="B307" s="34"/>
      <c r="C307" s="35"/>
      <c r="D307" s="35"/>
    </row>
    <row r="308" spans="1:4">
      <c r="A308" s="35"/>
      <c r="B308" s="34"/>
      <c r="C308" s="35"/>
      <c r="D308" s="35"/>
    </row>
    <row r="309" spans="1:4">
      <c r="A309" s="35"/>
      <c r="B309" s="34"/>
      <c r="C309" s="35"/>
      <c r="D309" s="35"/>
    </row>
    <row r="310" spans="1:4">
      <c r="A310" s="35"/>
      <c r="B310" s="34"/>
      <c r="C310" s="35"/>
      <c r="D310" s="35"/>
    </row>
    <row r="311" spans="1:4">
      <c r="A311" s="35"/>
      <c r="B311" s="34"/>
      <c r="C311" s="35"/>
      <c r="D311" s="35"/>
    </row>
    <row r="312" spans="1:4">
      <c r="A312" s="35"/>
      <c r="B312" s="34"/>
      <c r="C312" s="35"/>
      <c r="D312" s="35"/>
    </row>
    <row r="313" spans="1:4">
      <c r="A313" s="35"/>
      <c r="B313" s="34"/>
      <c r="C313" s="35"/>
      <c r="D313" s="35"/>
    </row>
    <row r="314" spans="1:4">
      <c r="A314" s="35"/>
      <c r="B314" s="34"/>
      <c r="C314" s="35"/>
      <c r="D314" s="35"/>
    </row>
    <row r="315" spans="1:4">
      <c r="A315" s="35"/>
      <c r="B315" s="34"/>
      <c r="C315" s="35"/>
      <c r="D315" s="35"/>
    </row>
    <row r="316" spans="1:4">
      <c r="A316" s="35"/>
      <c r="B316" s="34"/>
      <c r="C316" s="35"/>
      <c r="D316" s="35"/>
    </row>
    <row r="317" spans="1:4">
      <c r="A317" s="35"/>
      <c r="B317" s="34"/>
      <c r="C317" s="35"/>
      <c r="D317" s="35"/>
    </row>
    <row r="318" spans="1:4">
      <c r="A318" s="35"/>
      <c r="B318" s="34"/>
      <c r="C318" s="35"/>
      <c r="D318" s="35"/>
    </row>
    <row r="319" spans="1:4">
      <c r="A319" s="35"/>
      <c r="B319" s="34"/>
      <c r="C319" s="35"/>
      <c r="D319" s="35"/>
    </row>
    <row r="320" spans="1:4">
      <c r="A320" s="35"/>
      <c r="B320" s="34"/>
      <c r="C320" s="35"/>
      <c r="D320" s="35"/>
    </row>
    <row r="321" spans="1:4">
      <c r="A321" s="35"/>
      <c r="B321" s="34"/>
      <c r="C321" s="35"/>
      <c r="D321" s="35"/>
    </row>
    <row r="322" spans="1:4">
      <c r="A322" s="35"/>
      <c r="B322" s="34"/>
      <c r="C322" s="35"/>
      <c r="D322" s="35"/>
    </row>
    <row r="323" spans="1:4">
      <c r="A323" s="35"/>
      <c r="B323" s="34"/>
      <c r="C323" s="35"/>
      <c r="D323" s="35"/>
    </row>
    <row r="324" spans="1:4">
      <c r="A324" s="35"/>
      <c r="B324" s="34"/>
      <c r="C324" s="35"/>
      <c r="D324" s="35"/>
    </row>
    <row r="325" spans="1:4">
      <c r="A325" s="35"/>
      <c r="B325" s="34"/>
      <c r="C325" s="35"/>
      <c r="D325" s="35"/>
    </row>
    <row r="326" spans="1:4">
      <c r="A326" s="35"/>
      <c r="B326" s="34"/>
      <c r="C326" s="35"/>
      <c r="D326" s="35"/>
    </row>
    <row r="327" spans="1:4">
      <c r="A327" s="35"/>
      <c r="B327" s="34"/>
      <c r="C327" s="35"/>
      <c r="D327" s="35"/>
    </row>
    <row r="328" spans="1:4">
      <c r="A328" s="35"/>
      <c r="B328" s="34"/>
      <c r="C328" s="35"/>
      <c r="D328" s="35"/>
    </row>
    <row r="329" spans="1:4">
      <c r="A329" s="35"/>
      <c r="B329" s="34"/>
      <c r="C329" s="35"/>
      <c r="D329" s="35"/>
    </row>
    <row r="330" spans="1:4">
      <c r="A330" s="35"/>
      <c r="B330" s="34"/>
      <c r="C330" s="35"/>
      <c r="D330" s="35"/>
    </row>
    <row r="331" spans="1:4">
      <c r="A331" s="35"/>
      <c r="B331" s="34"/>
      <c r="C331" s="35"/>
      <c r="D331" s="35"/>
    </row>
    <row r="332" spans="1:4">
      <c r="A332" s="35"/>
      <c r="B332" s="34"/>
      <c r="C332" s="35"/>
      <c r="D332" s="35"/>
    </row>
    <row r="333" spans="1:4">
      <c r="A333" s="35"/>
      <c r="B333" s="34"/>
      <c r="C333" s="35"/>
      <c r="D333" s="35"/>
    </row>
    <row r="334" spans="1:4">
      <c r="A334" s="35"/>
      <c r="B334" s="34"/>
      <c r="C334" s="35"/>
      <c r="D334" s="35"/>
    </row>
    <row r="335" spans="1:4">
      <c r="A335" s="35"/>
      <c r="B335" s="34"/>
      <c r="C335" s="35"/>
      <c r="D335" s="35"/>
    </row>
    <row r="336" spans="1:4">
      <c r="A336" s="35"/>
      <c r="B336" s="34"/>
      <c r="C336" s="35"/>
      <c r="D336" s="35"/>
    </row>
    <row r="337" spans="1:4">
      <c r="A337" s="35"/>
      <c r="B337" s="34"/>
      <c r="C337" s="35"/>
      <c r="D337" s="35"/>
    </row>
    <row r="338" spans="1:4">
      <c r="A338" s="35"/>
      <c r="B338" s="34"/>
      <c r="C338" s="35"/>
      <c r="D338" s="35"/>
    </row>
    <row r="339" spans="1:4">
      <c r="A339" s="35"/>
      <c r="B339" s="34"/>
      <c r="C339" s="35"/>
      <c r="D339" s="35"/>
    </row>
    <row r="340" spans="1:4">
      <c r="A340" s="35"/>
      <c r="B340" s="34"/>
      <c r="C340" s="35"/>
      <c r="D340" s="35"/>
    </row>
    <row r="341" spans="1:4">
      <c r="A341" s="35"/>
      <c r="B341" s="34"/>
      <c r="C341" s="35"/>
      <c r="D341" s="35"/>
    </row>
    <row r="342" spans="1:4">
      <c r="A342" s="35"/>
      <c r="B342" s="34"/>
      <c r="C342" s="35"/>
      <c r="D342" s="35"/>
    </row>
    <row r="343" spans="1:4">
      <c r="A343" s="35"/>
      <c r="B343" s="34"/>
      <c r="C343" s="35"/>
      <c r="D343" s="35"/>
    </row>
    <row r="344" spans="1:4">
      <c r="A344" s="35"/>
      <c r="B344" s="34"/>
      <c r="C344" s="35"/>
      <c r="D344" s="35"/>
    </row>
    <row r="345" spans="1:4">
      <c r="A345" s="35"/>
      <c r="B345" s="34"/>
      <c r="C345" s="35"/>
      <c r="D345" s="35"/>
    </row>
    <row r="346" spans="1:4">
      <c r="A346" s="35"/>
      <c r="B346" s="34"/>
      <c r="C346" s="35"/>
      <c r="D346" s="35"/>
    </row>
    <row r="347" spans="1:4">
      <c r="A347" s="35"/>
      <c r="B347" s="34"/>
      <c r="C347" s="35"/>
      <c r="D347" s="35"/>
    </row>
    <row r="348" spans="1:4">
      <c r="A348" s="35"/>
      <c r="B348" s="34"/>
      <c r="C348" s="35"/>
      <c r="D348" s="35"/>
    </row>
    <row r="349" spans="1:4">
      <c r="A349" s="35"/>
      <c r="B349" s="34"/>
      <c r="C349" s="35"/>
      <c r="D349" s="35"/>
    </row>
    <row r="350" spans="1:4">
      <c r="A350" s="35"/>
      <c r="B350" s="34"/>
      <c r="C350" s="35"/>
      <c r="D350" s="35"/>
    </row>
    <row r="351" spans="1:4">
      <c r="A351" s="35"/>
      <c r="B351" s="34"/>
      <c r="C351" s="35"/>
      <c r="D351" s="35"/>
    </row>
    <row r="352" spans="1:4">
      <c r="A352" s="35"/>
      <c r="B352" s="34"/>
      <c r="C352" s="35"/>
      <c r="D352" s="35"/>
    </row>
    <row r="353" spans="1:4">
      <c r="A353" s="35"/>
      <c r="B353" s="34"/>
      <c r="C353" s="35"/>
      <c r="D353" s="35"/>
    </row>
    <row r="354" spans="1:4">
      <c r="A354" s="35"/>
      <c r="B354" s="34"/>
      <c r="C354" s="35"/>
      <c r="D354" s="35"/>
    </row>
    <row r="355" spans="1:4">
      <c r="A355" s="35"/>
      <c r="B355" s="34"/>
      <c r="C355" s="35"/>
      <c r="D355" s="35"/>
    </row>
    <row r="356" spans="1:4">
      <c r="A356" s="35"/>
      <c r="B356" s="34"/>
      <c r="C356" s="35"/>
      <c r="D356" s="35"/>
    </row>
    <row r="357" spans="1:4">
      <c r="A357" s="35"/>
      <c r="B357" s="34"/>
      <c r="C357" s="35"/>
      <c r="D357" s="35"/>
    </row>
    <row r="358" spans="1:4">
      <c r="A358" s="35"/>
      <c r="B358" s="34"/>
      <c r="C358" s="35"/>
      <c r="D358" s="35"/>
    </row>
    <row r="359" spans="1:4">
      <c r="A359" s="35"/>
      <c r="B359" s="34"/>
      <c r="C359" s="35"/>
      <c r="D359" s="35"/>
    </row>
    <row r="360" spans="1:4">
      <c r="A360" s="35"/>
      <c r="B360" s="34"/>
      <c r="C360" s="35"/>
      <c r="D360" s="35"/>
    </row>
    <row r="361" spans="1:4">
      <c r="A361" s="35"/>
      <c r="B361" s="34"/>
      <c r="C361" s="35"/>
      <c r="D361" s="35"/>
    </row>
    <row r="362" spans="1:4">
      <c r="A362" s="35"/>
      <c r="B362" s="34"/>
      <c r="C362" s="35"/>
      <c r="D362" s="35"/>
    </row>
    <row r="363" spans="1:4">
      <c r="A363" s="35"/>
      <c r="B363" s="34"/>
      <c r="C363" s="35"/>
      <c r="D363" s="35"/>
    </row>
    <row r="364" spans="1:4">
      <c r="A364" s="35"/>
      <c r="B364" s="34"/>
      <c r="C364" s="35"/>
      <c r="D364" s="35"/>
    </row>
    <row r="365" spans="1:4">
      <c r="A365" s="35"/>
      <c r="B365" s="34"/>
      <c r="C365" s="35"/>
      <c r="D365" s="35"/>
    </row>
    <row r="366" spans="1:4">
      <c r="A366" s="35"/>
      <c r="B366" s="34"/>
      <c r="C366" s="35"/>
      <c r="D366" s="35"/>
    </row>
    <row r="367" spans="1:4">
      <c r="A367" s="35"/>
      <c r="B367" s="34"/>
      <c r="C367" s="35"/>
      <c r="D367" s="35"/>
    </row>
    <row r="368" spans="1:4">
      <c r="A368" s="35"/>
      <c r="B368" s="34"/>
      <c r="C368" s="35"/>
      <c r="D368" s="35"/>
    </row>
    <row r="369" spans="1:4">
      <c r="A369" s="35"/>
      <c r="B369" s="34"/>
      <c r="C369" s="35"/>
      <c r="D369" s="35"/>
    </row>
    <row r="370" spans="1:4">
      <c r="A370" s="35"/>
      <c r="B370" s="34"/>
      <c r="C370" s="35"/>
      <c r="D370" s="35"/>
    </row>
    <row r="371" spans="1:4">
      <c r="A371" s="35"/>
      <c r="B371" s="34"/>
      <c r="C371" s="35"/>
      <c r="D371" s="35"/>
    </row>
    <row r="372" spans="1:4">
      <c r="A372" s="35"/>
      <c r="B372" s="34"/>
      <c r="C372" s="35"/>
      <c r="D372" s="35"/>
    </row>
    <row r="373" spans="1:4">
      <c r="A373" s="35"/>
      <c r="B373" s="34"/>
      <c r="C373" s="35"/>
      <c r="D373" s="35"/>
    </row>
    <row r="374" spans="1:4">
      <c r="A374" s="35"/>
      <c r="B374" s="34"/>
      <c r="C374" s="35"/>
      <c r="D374" s="35"/>
    </row>
    <row r="375" spans="1:4">
      <c r="A375" s="35"/>
      <c r="B375" s="34"/>
      <c r="C375" s="35"/>
      <c r="D375" s="35"/>
    </row>
    <row r="376" spans="1:4">
      <c r="A376" s="35"/>
      <c r="B376" s="34"/>
      <c r="C376" s="35"/>
      <c r="D376" s="35"/>
    </row>
    <row r="377" spans="1:4">
      <c r="A377" s="35"/>
      <c r="B377" s="34"/>
      <c r="C377" s="35"/>
      <c r="D377" s="35"/>
    </row>
    <row r="378" spans="1:4">
      <c r="A378" s="35"/>
      <c r="B378" s="34"/>
      <c r="C378" s="35"/>
      <c r="D378" s="35"/>
    </row>
    <row r="379" spans="1:4">
      <c r="A379" s="35"/>
      <c r="B379" s="34"/>
      <c r="C379" s="35"/>
      <c r="D379" s="35"/>
    </row>
    <row r="380" spans="1:4">
      <c r="A380" s="35"/>
      <c r="B380" s="34"/>
      <c r="C380" s="35"/>
      <c r="D380" s="35"/>
    </row>
    <row r="381" spans="1:4">
      <c r="A381" s="35"/>
      <c r="B381" s="34"/>
      <c r="C381" s="35"/>
      <c r="D381" s="35"/>
    </row>
    <row r="382" spans="1:4">
      <c r="A382" s="35"/>
      <c r="B382" s="34"/>
      <c r="C382" s="35"/>
      <c r="D382" s="35"/>
    </row>
    <row r="383" spans="1:4">
      <c r="A383" s="35"/>
      <c r="B383" s="34"/>
      <c r="C383" s="35"/>
      <c r="D383" s="35"/>
    </row>
    <row r="384" spans="1:4">
      <c r="A384" s="35"/>
      <c r="B384" s="34"/>
      <c r="C384" s="35"/>
      <c r="D384" s="35"/>
    </row>
    <row r="385" spans="1:4">
      <c r="A385" s="35"/>
      <c r="B385" s="34"/>
      <c r="C385" s="35"/>
      <c r="D385" s="35"/>
    </row>
    <row r="386" spans="1:4">
      <c r="A386" s="35"/>
      <c r="B386" s="34"/>
      <c r="C386" s="35"/>
      <c r="D386" s="35"/>
    </row>
    <row r="387" spans="1:4">
      <c r="A387" s="35"/>
      <c r="B387" s="34"/>
      <c r="C387" s="35"/>
      <c r="D387" s="35"/>
    </row>
    <row r="388" spans="1:4">
      <c r="A388" s="35"/>
      <c r="B388" s="34"/>
      <c r="C388" s="35"/>
      <c r="D388" s="35"/>
    </row>
    <row r="389" spans="1:4">
      <c r="A389" s="35"/>
      <c r="B389" s="34"/>
      <c r="C389" s="35"/>
      <c r="D389" s="35"/>
    </row>
    <row r="390" spans="1:4">
      <c r="A390" s="35"/>
      <c r="B390" s="34"/>
      <c r="C390" s="35"/>
      <c r="D390" s="35"/>
    </row>
    <row r="391" spans="1:4">
      <c r="A391" s="35"/>
      <c r="B391" s="34"/>
      <c r="C391" s="35"/>
      <c r="D391" s="35"/>
    </row>
    <row r="392" spans="1:4">
      <c r="A392" s="35"/>
      <c r="B392" s="34"/>
      <c r="C392" s="35"/>
      <c r="D392" s="35"/>
    </row>
    <row r="393" spans="1:4">
      <c r="A393" s="35"/>
      <c r="B393" s="34"/>
      <c r="C393" s="35"/>
      <c r="D393" s="35"/>
    </row>
    <row r="394" spans="1:4">
      <c r="A394" s="35"/>
      <c r="B394" s="34"/>
      <c r="C394" s="35"/>
      <c r="D394" s="35"/>
    </row>
    <row r="395" spans="1:4">
      <c r="A395" s="35"/>
      <c r="B395" s="34"/>
      <c r="C395" s="35"/>
      <c r="D395" s="35"/>
    </row>
    <row r="396" spans="1:4">
      <c r="A396" s="35"/>
      <c r="B396" s="34"/>
      <c r="C396" s="35"/>
      <c r="D396" s="35"/>
    </row>
    <row r="397" spans="1:4">
      <c r="A397" s="35"/>
      <c r="B397" s="34"/>
      <c r="C397" s="35"/>
      <c r="D397" s="35"/>
    </row>
    <row r="398" spans="1:4">
      <c r="A398" s="35"/>
      <c r="B398" s="34"/>
      <c r="C398" s="35"/>
      <c r="D398" s="35"/>
    </row>
    <row r="399" spans="1:4">
      <c r="A399" s="35"/>
      <c r="B399" s="34"/>
      <c r="C399" s="35"/>
      <c r="D399" s="35"/>
    </row>
    <row r="400" spans="1:4">
      <c r="A400" s="35"/>
      <c r="B400" s="34"/>
      <c r="C400" s="35"/>
      <c r="D400" s="35"/>
    </row>
    <row r="401" spans="1:4">
      <c r="A401" s="35"/>
      <c r="B401" s="34"/>
      <c r="C401" s="35"/>
      <c r="D401" s="35"/>
    </row>
    <row r="402" spans="1:4">
      <c r="A402" s="35"/>
      <c r="B402" s="34"/>
      <c r="C402" s="35"/>
      <c r="D402" s="35"/>
    </row>
    <row r="403" spans="1:4">
      <c r="A403" s="35"/>
      <c r="B403" s="34"/>
      <c r="C403" s="35"/>
      <c r="D403" s="35"/>
    </row>
    <row r="404" spans="1:4">
      <c r="A404" s="35"/>
      <c r="B404" s="34"/>
      <c r="C404" s="35"/>
      <c r="D404" s="35"/>
    </row>
    <row r="405" spans="1:4">
      <c r="A405" s="35"/>
      <c r="B405" s="34"/>
      <c r="C405" s="35"/>
      <c r="D405" s="35"/>
    </row>
    <row r="406" spans="1:4">
      <c r="A406" s="35"/>
      <c r="B406" s="34"/>
      <c r="C406" s="35"/>
      <c r="D406" s="35"/>
    </row>
    <row r="407" spans="1:4">
      <c r="A407" s="35"/>
      <c r="B407" s="34"/>
      <c r="C407" s="35"/>
      <c r="D407" s="35"/>
    </row>
    <row r="408" spans="1:4">
      <c r="A408" s="35"/>
      <c r="B408" s="34"/>
      <c r="C408" s="35"/>
      <c r="D408" s="35"/>
    </row>
    <row r="409" spans="1:4">
      <c r="A409" s="35"/>
      <c r="B409" s="34"/>
      <c r="C409" s="35"/>
      <c r="D409" s="35"/>
    </row>
    <row r="410" spans="1:4">
      <c r="A410" s="35"/>
      <c r="B410" s="34"/>
      <c r="C410" s="35"/>
      <c r="D410" s="35"/>
    </row>
    <row r="411" spans="1:4">
      <c r="A411" s="35"/>
      <c r="B411" s="34"/>
      <c r="C411" s="35"/>
      <c r="D411" s="35"/>
    </row>
    <row r="412" spans="1:4">
      <c r="A412" s="35"/>
      <c r="B412" s="34"/>
      <c r="C412" s="35"/>
      <c r="D412" s="35"/>
    </row>
    <row r="413" spans="1:4">
      <c r="A413" s="35"/>
      <c r="B413" s="34"/>
      <c r="C413" s="35"/>
      <c r="D413" s="35"/>
    </row>
    <row r="414" spans="1:4">
      <c r="A414" s="35"/>
      <c r="B414" s="34"/>
      <c r="C414" s="35"/>
      <c r="D414" s="35"/>
    </row>
    <row r="415" spans="1:4">
      <c r="A415" s="35"/>
      <c r="B415" s="34"/>
      <c r="C415" s="35"/>
      <c r="D415" s="35"/>
    </row>
    <row r="416" spans="1:4">
      <c r="A416" s="35"/>
      <c r="B416" s="34"/>
      <c r="C416" s="35"/>
      <c r="D416" s="35"/>
    </row>
    <row r="417" spans="1:4">
      <c r="A417" s="35"/>
      <c r="B417" s="34"/>
      <c r="C417" s="35"/>
      <c r="D417" s="35"/>
    </row>
    <row r="418" spans="1:4">
      <c r="A418" s="35"/>
      <c r="B418" s="34"/>
      <c r="C418" s="35"/>
      <c r="D418" s="35"/>
    </row>
    <row r="419" spans="1:4">
      <c r="A419" s="35"/>
      <c r="B419" s="34"/>
      <c r="C419" s="35"/>
      <c r="D419" s="35"/>
    </row>
    <row r="420" spans="1:4">
      <c r="A420" s="35"/>
      <c r="B420" s="34"/>
      <c r="C420" s="35"/>
      <c r="D420" s="35"/>
    </row>
    <row r="421" spans="1:4">
      <c r="A421" s="35"/>
      <c r="B421" s="34"/>
      <c r="C421" s="35"/>
      <c r="D421" s="35"/>
    </row>
    <row r="422" spans="1:4">
      <c r="A422" s="35"/>
      <c r="B422" s="34"/>
      <c r="C422" s="35"/>
      <c r="D422" s="35"/>
    </row>
    <row r="423" spans="1:4">
      <c r="A423" s="35"/>
      <c r="B423" s="34"/>
      <c r="C423" s="35"/>
      <c r="D423" s="35"/>
    </row>
    <row r="424" spans="1:4">
      <c r="A424" s="35"/>
      <c r="B424" s="34"/>
      <c r="C424" s="35"/>
      <c r="D424" s="35"/>
    </row>
    <row r="425" spans="1:4">
      <c r="A425" s="35"/>
      <c r="B425" s="34"/>
      <c r="C425" s="35"/>
      <c r="D425" s="35"/>
    </row>
    <row r="426" spans="1:4">
      <c r="A426" s="35"/>
      <c r="B426" s="34"/>
      <c r="C426" s="35"/>
      <c r="D426" s="35"/>
    </row>
    <row r="427" spans="1:4">
      <c r="A427" s="35"/>
      <c r="B427" s="34"/>
      <c r="C427" s="35"/>
      <c r="D427" s="35"/>
    </row>
    <row r="428" spans="1:4">
      <c r="A428" s="35"/>
      <c r="B428" s="34"/>
      <c r="C428" s="35"/>
      <c r="D428" s="35"/>
    </row>
    <row r="429" spans="1:4">
      <c r="A429" s="35"/>
      <c r="B429" s="34"/>
      <c r="C429" s="35"/>
      <c r="D429" s="35"/>
    </row>
    <row r="430" spans="1:4">
      <c r="A430" s="35"/>
      <c r="B430" s="34"/>
      <c r="C430" s="35"/>
      <c r="D430" s="35"/>
    </row>
    <row r="431" spans="1:4">
      <c r="A431" s="35"/>
      <c r="B431" s="34"/>
      <c r="C431" s="35"/>
      <c r="D431" s="35"/>
    </row>
    <row r="432" spans="1:4">
      <c r="A432" s="35"/>
      <c r="B432" s="34"/>
      <c r="C432" s="35"/>
      <c r="D432" s="35"/>
    </row>
    <row r="433" spans="1:4">
      <c r="A433" s="35"/>
      <c r="B433" s="34"/>
      <c r="C433" s="35"/>
      <c r="D433" s="35"/>
    </row>
    <row r="434" spans="1:4">
      <c r="A434" s="35"/>
      <c r="B434" s="34"/>
      <c r="C434" s="35"/>
      <c r="D434" s="35"/>
    </row>
    <row r="435" spans="1:4">
      <c r="A435" s="35"/>
      <c r="B435" s="34"/>
      <c r="C435" s="35"/>
      <c r="D435" s="35"/>
    </row>
    <row r="436" spans="1:4">
      <c r="A436" s="35"/>
      <c r="B436" s="34"/>
      <c r="C436" s="35"/>
      <c r="D436" s="35"/>
    </row>
    <row r="437" spans="1:4">
      <c r="A437" s="35"/>
      <c r="B437" s="34"/>
      <c r="C437" s="35"/>
      <c r="D437" s="35"/>
    </row>
    <row r="438" spans="1:4">
      <c r="A438" s="35"/>
      <c r="B438" s="34"/>
      <c r="C438" s="35"/>
      <c r="D438" s="35"/>
    </row>
    <row r="439" spans="1:4">
      <c r="A439" s="35"/>
      <c r="B439" s="34"/>
      <c r="C439" s="35"/>
      <c r="D439" s="35"/>
    </row>
    <row r="440" spans="1:4">
      <c r="A440" s="35"/>
      <c r="B440" s="34"/>
      <c r="C440" s="35"/>
      <c r="D440" s="35"/>
    </row>
    <row r="441" spans="1:4">
      <c r="A441" s="35"/>
      <c r="B441" s="34"/>
      <c r="C441" s="35"/>
      <c r="D441" s="35"/>
    </row>
    <row r="442" spans="1:4">
      <c r="A442" s="35"/>
      <c r="B442" s="34"/>
      <c r="C442" s="35"/>
      <c r="D442" s="35"/>
    </row>
    <row r="443" spans="1:4">
      <c r="A443" s="35"/>
      <c r="B443" s="34"/>
      <c r="C443" s="35"/>
      <c r="D443" s="35"/>
    </row>
    <row r="444" spans="1:4">
      <c r="A444" s="35"/>
      <c r="B444" s="34"/>
      <c r="C444" s="35"/>
      <c r="D444" s="35"/>
    </row>
    <row r="445" spans="1:4">
      <c r="A445" s="35"/>
      <c r="B445" s="34"/>
      <c r="C445" s="35"/>
      <c r="D445" s="35"/>
    </row>
    <row r="446" spans="1:4">
      <c r="A446" s="35"/>
      <c r="B446" s="34"/>
      <c r="C446" s="35"/>
      <c r="D446" s="35"/>
    </row>
    <row r="447" spans="1:4">
      <c r="A447" s="35"/>
      <c r="B447" s="34"/>
      <c r="C447" s="35"/>
      <c r="D447" s="35"/>
    </row>
    <row r="448" spans="1:4">
      <c r="A448" s="35"/>
      <c r="B448" s="34"/>
      <c r="C448" s="35"/>
      <c r="D448" s="35"/>
    </row>
    <row r="449" spans="1:4">
      <c r="A449" s="35"/>
      <c r="B449" s="34"/>
      <c r="C449" s="35"/>
      <c r="D449" s="35"/>
    </row>
    <row r="450" spans="1:4">
      <c r="A450" s="35"/>
      <c r="B450" s="34"/>
      <c r="C450" s="35"/>
      <c r="D450" s="35"/>
    </row>
    <row r="451" spans="1:4">
      <c r="A451" s="35"/>
      <c r="B451" s="34"/>
      <c r="C451" s="35"/>
      <c r="D451" s="35"/>
    </row>
    <row r="452" spans="1:4">
      <c r="A452" s="35"/>
      <c r="B452" s="34"/>
      <c r="C452" s="35"/>
      <c r="D452" s="35"/>
    </row>
    <row r="453" spans="1:4">
      <c r="A453" s="35"/>
      <c r="B453" s="34"/>
      <c r="C453" s="35"/>
      <c r="D453" s="35"/>
    </row>
    <row r="454" spans="1:4">
      <c r="A454" s="35"/>
      <c r="B454" s="34"/>
      <c r="C454" s="35"/>
      <c r="D454" s="35"/>
    </row>
    <row r="455" spans="1:4">
      <c r="A455" s="35"/>
      <c r="B455" s="34"/>
      <c r="C455" s="35"/>
      <c r="D455" s="35"/>
    </row>
    <row r="456" spans="1:4">
      <c r="A456" s="35"/>
      <c r="B456" s="34"/>
      <c r="C456" s="35"/>
      <c r="D456" s="35"/>
    </row>
    <row r="457" spans="1:4">
      <c r="A457" s="35"/>
      <c r="B457" s="34"/>
      <c r="C457" s="35"/>
      <c r="D457" s="35"/>
    </row>
    <row r="458" spans="1:4">
      <c r="A458" s="35"/>
      <c r="B458" s="34"/>
      <c r="C458" s="35"/>
      <c r="D458" s="35"/>
    </row>
    <row r="459" spans="1:4">
      <c r="A459" s="35"/>
      <c r="B459" s="34"/>
      <c r="C459" s="35"/>
      <c r="D459" s="35"/>
    </row>
    <row r="460" spans="1:4">
      <c r="A460" s="35"/>
      <c r="B460" s="34"/>
      <c r="C460" s="35"/>
      <c r="D460" s="35"/>
    </row>
    <row r="461" spans="1:4">
      <c r="A461" s="35"/>
      <c r="B461" s="34"/>
      <c r="C461" s="35"/>
      <c r="D461" s="35"/>
    </row>
    <row r="462" spans="1:4">
      <c r="A462" s="35"/>
      <c r="B462" s="34"/>
      <c r="C462" s="35"/>
      <c r="D462" s="35"/>
    </row>
    <row r="463" spans="1:4">
      <c r="A463" s="35"/>
      <c r="B463" s="34"/>
      <c r="C463" s="35"/>
      <c r="D463" s="35"/>
    </row>
    <row r="464" spans="1:4">
      <c r="A464" s="35"/>
      <c r="B464" s="34"/>
      <c r="C464" s="35"/>
      <c r="D464" s="35"/>
    </row>
    <row r="465" spans="1:4">
      <c r="A465" s="35"/>
      <c r="B465" s="34"/>
      <c r="C465" s="35"/>
      <c r="D465" s="35"/>
    </row>
    <row r="466" spans="1:4">
      <c r="A466" s="35"/>
      <c r="B466" s="34"/>
      <c r="C466" s="35"/>
      <c r="D466" s="35"/>
    </row>
    <row r="467" spans="1:4">
      <c r="A467" s="35"/>
      <c r="B467" s="34"/>
      <c r="C467" s="35"/>
      <c r="D467" s="35"/>
    </row>
    <row r="468" spans="1:4">
      <c r="A468" s="35"/>
      <c r="B468" s="34"/>
      <c r="C468" s="35"/>
      <c r="D468" s="35"/>
    </row>
    <row r="469" spans="1:4">
      <c r="A469" s="35"/>
      <c r="B469" s="34"/>
      <c r="C469" s="35"/>
      <c r="D469" s="35"/>
    </row>
    <row r="470" spans="1:4">
      <c r="A470" s="35"/>
      <c r="B470" s="34"/>
      <c r="C470" s="35"/>
      <c r="D470" s="35"/>
    </row>
    <row r="471" spans="1:4">
      <c r="A471" s="35"/>
      <c r="B471" s="34"/>
      <c r="C471" s="35"/>
      <c r="D471" s="35"/>
    </row>
    <row r="472" spans="1:4">
      <c r="A472" s="35"/>
      <c r="B472" s="34"/>
      <c r="C472" s="35"/>
      <c r="D472" s="35"/>
    </row>
    <row r="473" spans="1:4">
      <c r="A473" s="35"/>
      <c r="B473" s="34"/>
      <c r="C473" s="35"/>
      <c r="D473" s="35"/>
    </row>
    <row r="474" spans="1:4">
      <c r="A474" s="35"/>
      <c r="B474" s="34"/>
      <c r="C474" s="35"/>
      <c r="D474" s="35"/>
    </row>
    <row r="475" spans="1:4">
      <c r="A475" s="35"/>
      <c r="B475" s="34"/>
      <c r="C475" s="35"/>
      <c r="D475" s="35"/>
    </row>
    <row r="476" spans="1:4">
      <c r="A476" s="35"/>
      <c r="B476" s="34"/>
      <c r="C476" s="35"/>
      <c r="D476" s="35"/>
    </row>
    <row r="477" spans="1:4">
      <c r="A477" s="35"/>
      <c r="B477" s="34"/>
      <c r="C477" s="35"/>
      <c r="D477" s="35"/>
    </row>
    <row r="478" spans="1:4">
      <c r="A478" s="35"/>
      <c r="B478" s="34"/>
      <c r="C478" s="35"/>
      <c r="D478" s="35"/>
    </row>
    <row r="479" spans="1:4">
      <c r="A479" s="35"/>
      <c r="B479" s="34"/>
      <c r="C479" s="35"/>
      <c r="D479" s="35"/>
    </row>
    <row r="480" spans="1:4">
      <c r="A480" s="35"/>
      <c r="B480" s="34"/>
      <c r="C480" s="35"/>
      <c r="D480" s="35"/>
    </row>
    <row r="481" spans="1:4">
      <c r="A481" s="35"/>
      <c r="B481" s="34"/>
      <c r="C481" s="35"/>
      <c r="D481" s="35"/>
    </row>
    <row r="482" spans="1:4">
      <c r="A482" s="35"/>
      <c r="B482" s="34"/>
      <c r="C482" s="35"/>
      <c r="D482" s="35"/>
    </row>
    <row r="483" spans="1:4">
      <c r="A483" s="35"/>
      <c r="B483" s="34"/>
      <c r="C483" s="35"/>
      <c r="D483" s="35"/>
    </row>
    <row r="484" spans="1:4">
      <c r="A484" s="35"/>
      <c r="B484" s="34"/>
      <c r="C484" s="35"/>
      <c r="D484" s="35"/>
    </row>
    <row r="485" spans="1:4">
      <c r="A485" s="35"/>
      <c r="B485" s="34"/>
      <c r="C485" s="35"/>
      <c r="D485" s="35"/>
    </row>
    <row r="486" spans="1:4">
      <c r="A486" s="35"/>
      <c r="B486" s="34"/>
      <c r="C486" s="35"/>
      <c r="D486" s="35"/>
    </row>
    <row r="487" spans="1:4">
      <c r="A487" s="35"/>
      <c r="B487" s="34"/>
      <c r="C487" s="35"/>
      <c r="D487" s="35"/>
    </row>
    <row r="488" spans="1:4">
      <c r="A488" s="35"/>
      <c r="B488" s="34"/>
      <c r="C488" s="35"/>
      <c r="D488" s="35"/>
    </row>
    <row r="489" spans="1:4">
      <c r="A489" s="35"/>
      <c r="B489" s="34"/>
      <c r="C489" s="35"/>
      <c r="D489" s="35"/>
    </row>
    <row r="490" spans="1:4">
      <c r="A490" s="35"/>
      <c r="B490" s="34"/>
      <c r="C490" s="35"/>
      <c r="D490" s="35"/>
    </row>
    <row r="491" spans="1:4">
      <c r="A491" s="35"/>
      <c r="B491" s="34"/>
      <c r="C491" s="35"/>
      <c r="D491" s="35"/>
    </row>
    <row r="492" spans="1:4">
      <c r="A492" s="35"/>
      <c r="B492" s="34"/>
      <c r="C492" s="35"/>
      <c r="D492" s="35"/>
    </row>
    <row r="493" spans="1:4">
      <c r="A493" s="35"/>
      <c r="B493" s="34"/>
      <c r="C493" s="35"/>
      <c r="D493" s="35"/>
    </row>
    <row r="494" spans="1:4">
      <c r="A494" s="35"/>
      <c r="B494" s="34"/>
      <c r="C494" s="35"/>
      <c r="D494" s="35"/>
    </row>
    <row r="495" spans="1:4">
      <c r="A495" s="35"/>
      <c r="B495" s="34"/>
      <c r="C495" s="35"/>
      <c r="D495" s="35"/>
    </row>
    <row r="496" spans="1:4">
      <c r="A496" s="35"/>
      <c r="B496" s="34"/>
      <c r="C496" s="35"/>
      <c r="D496" s="35"/>
    </row>
    <row r="497" spans="1:4">
      <c r="A497" s="35"/>
      <c r="B497" s="34"/>
      <c r="C497" s="35"/>
      <c r="D497" s="35"/>
    </row>
    <row r="498" spans="1:4">
      <c r="A498" s="35"/>
      <c r="B498" s="34"/>
      <c r="C498" s="35"/>
      <c r="D498" s="35"/>
    </row>
    <row r="499" spans="1:4">
      <c r="A499" s="35"/>
      <c r="B499" s="34"/>
      <c r="C499" s="35"/>
      <c r="D499" s="35"/>
    </row>
    <row r="500" spans="1:4">
      <c r="A500" s="35"/>
      <c r="B500" s="34"/>
      <c r="C500" s="35"/>
      <c r="D500" s="35"/>
    </row>
    <row r="501" spans="1:4">
      <c r="A501" s="35"/>
      <c r="B501" s="34"/>
      <c r="C501" s="35"/>
      <c r="D501" s="35"/>
    </row>
    <row r="502" spans="1:4">
      <c r="A502" s="35"/>
      <c r="B502" s="34"/>
      <c r="C502" s="35"/>
      <c r="D502" s="35"/>
    </row>
    <row r="503" spans="1:4">
      <c r="A503" s="35"/>
      <c r="B503" s="34"/>
      <c r="C503" s="35"/>
      <c r="D503" s="35"/>
    </row>
    <row r="504" spans="1:4">
      <c r="A504" s="35"/>
      <c r="B504" s="34"/>
      <c r="C504" s="35"/>
      <c r="D504" s="35"/>
    </row>
    <row r="505" spans="1:4">
      <c r="A505" s="35"/>
      <c r="B505" s="34"/>
      <c r="C505" s="35"/>
      <c r="D505" s="35"/>
    </row>
    <row r="506" spans="1:4">
      <c r="A506" s="35"/>
      <c r="B506" s="34"/>
      <c r="C506" s="35"/>
      <c r="D506" s="35"/>
    </row>
    <row r="507" spans="1:4">
      <c r="A507" s="35"/>
      <c r="B507" s="34"/>
      <c r="C507" s="35"/>
      <c r="D507" s="35"/>
    </row>
    <row r="508" spans="1:4">
      <c r="A508" s="35"/>
      <c r="B508" s="34"/>
      <c r="C508" s="35"/>
      <c r="D508" s="35"/>
    </row>
    <row r="509" spans="1:4">
      <c r="A509" s="35"/>
      <c r="B509" s="34"/>
      <c r="C509" s="35"/>
      <c r="D509" s="35"/>
    </row>
    <row r="510" spans="1:4">
      <c r="A510" s="35"/>
      <c r="B510" s="34"/>
      <c r="C510" s="35"/>
      <c r="D510" s="35"/>
    </row>
    <row r="511" spans="1:4">
      <c r="A511" s="35"/>
      <c r="B511" s="34"/>
      <c r="C511" s="35"/>
      <c r="D511" s="35"/>
    </row>
    <row r="512" spans="1:4">
      <c r="A512" s="35"/>
      <c r="B512" s="34"/>
      <c r="C512" s="35"/>
      <c r="D512" s="35"/>
    </row>
    <row r="513" spans="1:4">
      <c r="A513" s="35"/>
      <c r="B513" s="34"/>
      <c r="C513" s="35"/>
      <c r="D513" s="35"/>
    </row>
    <row r="514" spans="1:4">
      <c r="A514" s="35"/>
      <c r="B514" s="34"/>
      <c r="C514" s="35"/>
      <c r="D514" s="35"/>
    </row>
    <row r="515" spans="1:4">
      <c r="A515" s="35"/>
      <c r="B515" s="34"/>
      <c r="C515" s="35"/>
      <c r="D515" s="35"/>
    </row>
    <row r="516" spans="1:4">
      <c r="A516" s="35"/>
      <c r="B516" s="34"/>
      <c r="C516" s="35"/>
      <c r="D516" s="35"/>
    </row>
    <row r="517" spans="1:4">
      <c r="A517" s="35"/>
      <c r="B517" s="34"/>
      <c r="C517" s="35"/>
      <c r="D517" s="35"/>
    </row>
    <row r="518" spans="1:4">
      <c r="A518" s="35"/>
      <c r="B518" s="34"/>
      <c r="C518" s="35"/>
      <c r="D518" s="35"/>
    </row>
    <row r="519" spans="1:4">
      <c r="A519" s="35"/>
      <c r="B519" s="34"/>
      <c r="C519" s="35"/>
      <c r="D519" s="35"/>
    </row>
    <row r="520" spans="1:4">
      <c r="A520" s="35"/>
      <c r="B520" s="34"/>
      <c r="C520" s="35"/>
      <c r="D520" s="35"/>
    </row>
    <row r="521" spans="1:4">
      <c r="A521" s="35"/>
      <c r="B521" s="34"/>
      <c r="C521" s="35"/>
      <c r="D521" s="35"/>
    </row>
    <row r="522" spans="1:4">
      <c r="A522" s="35"/>
      <c r="B522" s="34"/>
      <c r="C522" s="35"/>
      <c r="D522" s="35"/>
    </row>
    <row r="523" spans="1:4">
      <c r="A523" s="35"/>
      <c r="B523" s="34"/>
      <c r="C523" s="35"/>
      <c r="D523" s="35"/>
    </row>
    <row r="524" spans="1:4">
      <c r="A524" s="35"/>
      <c r="B524" s="34"/>
      <c r="C524" s="35"/>
      <c r="D524" s="35"/>
    </row>
    <row r="525" spans="1:4">
      <c r="A525" s="35"/>
      <c r="B525" s="34"/>
      <c r="C525" s="35"/>
      <c r="D525" s="35"/>
    </row>
    <row r="526" spans="1:4">
      <c r="A526" s="35"/>
      <c r="B526" s="34"/>
      <c r="C526" s="35"/>
      <c r="D526" s="35"/>
    </row>
    <row r="527" spans="1:4">
      <c r="A527" s="35"/>
      <c r="B527" s="34"/>
      <c r="C527" s="35"/>
      <c r="D527" s="35"/>
    </row>
    <row r="528" spans="1:4">
      <c r="A528" s="35"/>
      <c r="B528" s="34"/>
      <c r="C528" s="35"/>
      <c r="D528" s="35"/>
    </row>
    <row r="529" spans="1:4">
      <c r="A529" s="35"/>
      <c r="B529" s="34"/>
      <c r="C529" s="35"/>
      <c r="D529" s="35"/>
    </row>
    <row r="530" spans="1:4">
      <c r="A530" s="35"/>
      <c r="B530" s="34"/>
      <c r="C530" s="35"/>
      <c r="D530" s="35"/>
    </row>
    <row r="531" spans="1:4">
      <c r="A531" s="35"/>
      <c r="B531" s="34"/>
      <c r="C531" s="35"/>
      <c r="D531" s="35"/>
    </row>
    <row r="532" spans="1:4">
      <c r="A532" s="35"/>
      <c r="B532" s="34"/>
      <c r="C532" s="35"/>
      <c r="D532" s="35"/>
    </row>
    <row r="533" spans="1:4">
      <c r="A533" s="35"/>
      <c r="B533" s="34"/>
      <c r="C533" s="35"/>
      <c r="D533" s="35"/>
    </row>
    <row r="534" spans="1:4">
      <c r="A534" s="35"/>
      <c r="B534" s="34"/>
      <c r="C534" s="35"/>
      <c r="D534" s="35"/>
    </row>
    <row r="535" spans="1:4">
      <c r="A535" s="35"/>
      <c r="B535" s="34"/>
      <c r="C535" s="35"/>
      <c r="D535" s="35"/>
    </row>
    <row r="536" spans="1:4">
      <c r="A536" s="35"/>
      <c r="B536" s="34"/>
      <c r="C536" s="35"/>
      <c r="D536" s="35"/>
    </row>
    <row r="537" spans="1:4">
      <c r="A537" s="35"/>
      <c r="B537" s="34"/>
      <c r="C537" s="35"/>
      <c r="D537" s="35"/>
    </row>
    <row r="538" spans="1:4">
      <c r="A538" s="35"/>
      <c r="B538" s="34"/>
      <c r="C538" s="35"/>
      <c r="D538" s="35"/>
    </row>
    <row r="539" spans="1:4">
      <c r="A539" s="35"/>
      <c r="B539" s="34"/>
      <c r="C539" s="35"/>
      <c r="D539" s="35"/>
    </row>
    <row r="540" spans="1:4">
      <c r="A540" s="35"/>
      <c r="B540" s="34"/>
      <c r="C540" s="35"/>
      <c r="D540" s="35"/>
    </row>
    <row r="541" spans="1:4">
      <c r="A541" s="35"/>
      <c r="B541" s="34"/>
      <c r="C541" s="35"/>
      <c r="D541" s="35"/>
    </row>
    <row r="542" spans="1:4">
      <c r="A542" s="35"/>
      <c r="B542" s="34"/>
      <c r="C542" s="35"/>
      <c r="D542" s="35"/>
    </row>
    <row r="543" spans="1:4">
      <c r="A543" s="35"/>
      <c r="B543" s="34"/>
      <c r="C543" s="35"/>
      <c r="D543" s="35"/>
    </row>
    <row r="544" spans="1:4">
      <c r="A544" s="35"/>
      <c r="B544" s="34"/>
      <c r="C544" s="35"/>
      <c r="D544" s="35"/>
    </row>
    <row r="545" spans="1:4">
      <c r="A545" s="35"/>
      <c r="B545" s="34"/>
      <c r="C545" s="35"/>
      <c r="D545" s="35"/>
    </row>
    <row r="546" spans="1:4">
      <c r="A546" s="35"/>
      <c r="B546" s="34"/>
      <c r="C546" s="35"/>
      <c r="D546" s="35"/>
    </row>
    <row r="547" spans="1:4">
      <c r="A547" s="35"/>
      <c r="B547" s="34"/>
      <c r="C547" s="35"/>
      <c r="D547" s="35"/>
    </row>
    <row r="548" spans="1:4">
      <c r="A548" s="35"/>
      <c r="B548" s="34"/>
      <c r="C548" s="35"/>
      <c r="D548" s="35"/>
    </row>
    <row r="549" spans="1:4">
      <c r="A549" s="35"/>
      <c r="B549" s="34"/>
      <c r="C549" s="35"/>
      <c r="D549" s="35"/>
    </row>
    <row r="550" spans="1:4">
      <c r="A550" s="35"/>
      <c r="B550" s="34"/>
      <c r="C550" s="35"/>
      <c r="D550" s="35"/>
    </row>
    <row r="551" spans="1:4">
      <c r="A551" s="35"/>
      <c r="B551" s="34"/>
      <c r="C551" s="35"/>
      <c r="D551" s="35"/>
    </row>
    <row r="552" spans="1:4">
      <c r="A552" s="35"/>
      <c r="B552" s="34"/>
      <c r="C552" s="35"/>
      <c r="D552" s="35"/>
    </row>
    <row r="553" spans="1:4">
      <c r="A553" s="35"/>
      <c r="B553" s="34"/>
      <c r="C553" s="35"/>
      <c r="D553" s="35"/>
    </row>
    <row r="554" spans="1:4">
      <c r="A554" s="35"/>
      <c r="B554" s="34"/>
      <c r="C554" s="35"/>
      <c r="D554" s="35"/>
    </row>
    <row r="555" spans="1:4">
      <c r="A555" s="35"/>
      <c r="B555" s="34"/>
      <c r="C555" s="35"/>
      <c r="D555" s="35"/>
    </row>
    <row r="556" spans="1:4">
      <c r="A556" s="35"/>
      <c r="B556" s="34"/>
      <c r="C556" s="35"/>
      <c r="D556" s="35"/>
    </row>
    <row r="557" spans="1:4">
      <c r="A557" s="35"/>
      <c r="B557" s="34"/>
      <c r="C557" s="35"/>
      <c r="D557" s="35"/>
    </row>
    <row r="558" spans="1:4">
      <c r="A558" s="35"/>
      <c r="B558" s="34"/>
      <c r="C558" s="35"/>
      <c r="D558" s="35"/>
    </row>
    <row r="559" spans="1:4">
      <c r="A559" s="35"/>
      <c r="B559" s="34"/>
      <c r="C559" s="35"/>
      <c r="D559" s="35"/>
    </row>
    <row r="560" spans="1:4">
      <c r="A560" s="35"/>
      <c r="B560" s="34"/>
      <c r="C560" s="35"/>
      <c r="D560" s="35"/>
    </row>
    <row r="561" spans="1:4">
      <c r="A561" s="35"/>
      <c r="B561" s="34"/>
      <c r="C561" s="35"/>
      <c r="D561" s="35"/>
    </row>
    <row r="562" spans="1:4">
      <c r="A562" s="35"/>
      <c r="B562" s="34"/>
      <c r="C562" s="35"/>
      <c r="D562" s="35"/>
    </row>
    <row r="563" spans="1:4">
      <c r="A563" s="35"/>
      <c r="B563" s="34"/>
      <c r="C563" s="35"/>
      <c r="D563" s="35"/>
    </row>
    <row r="564" spans="1:4">
      <c r="A564" s="35"/>
      <c r="B564" s="34"/>
      <c r="C564" s="35"/>
      <c r="D564" s="35"/>
    </row>
    <row r="565" spans="1:4">
      <c r="A565" s="35"/>
      <c r="B565" s="34"/>
      <c r="C565" s="35"/>
      <c r="D565" s="35"/>
    </row>
    <row r="566" spans="1:4">
      <c r="A566" s="35"/>
      <c r="B566" s="34"/>
      <c r="C566" s="35"/>
      <c r="D566" s="35"/>
    </row>
    <row r="567" spans="1:4">
      <c r="A567" s="35"/>
      <c r="B567" s="34"/>
      <c r="C567" s="35"/>
      <c r="D567" s="35"/>
    </row>
    <row r="568" spans="1:4">
      <c r="A568" s="35"/>
      <c r="B568" s="34"/>
      <c r="C568" s="35"/>
      <c r="D568" s="35"/>
    </row>
    <row r="569" spans="1:4">
      <c r="A569" s="35"/>
      <c r="B569" s="34"/>
      <c r="C569" s="35"/>
      <c r="D569" s="35"/>
    </row>
    <row r="570" spans="1:4">
      <c r="A570" s="35"/>
      <c r="B570" s="34"/>
      <c r="C570" s="35"/>
      <c r="D570" s="35"/>
    </row>
    <row r="571" spans="1:4">
      <c r="A571" s="35"/>
      <c r="B571" s="34"/>
      <c r="C571" s="35"/>
      <c r="D571" s="35"/>
    </row>
    <row r="572" spans="1:4">
      <c r="A572" s="35"/>
      <c r="B572" s="34"/>
      <c r="C572" s="35"/>
      <c r="D572" s="35"/>
    </row>
    <row r="573" spans="1:4">
      <c r="A573" s="35"/>
      <c r="B573" s="34"/>
      <c r="C573" s="35"/>
      <c r="D573" s="35"/>
    </row>
    <row r="574" spans="1:4">
      <c r="A574" s="35"/>
      <c r="B574" s="34"/>
      <c r="C574" s="35"/>
      <c r="D574" s="35"/>
    </row>
    <row r="575" spans="1:4">
      <c r="A575" s="35"/>
      <c r="B575" s="34"/>
      <c r="C575" s="35"/>
      <c r="D575" s="35"/>
    </row>
    <row r="576" spans="1:4">
      <c r="A576" s="35"/>
      <c r="B576" s="34"/>
      <c r="C576" s="35"/>
      <c r="D576" s="35"/>
    </row>
    <row r="577" spans="1:4">
      <c r="A577" s="35"/>
      <c r="B577" s="34"/>
      <c r="C577" s="35"/>
      <c r="D577" s="35"/>
    </row>
    <row r="578" spans="1:4">
      <c r="A578" s="35"/>
      <c r="B578" s="34"/>
      <c r="C578" s="35"/>
      <c r="D578" s="35"/>
    </row>
    <row r="579" spans="1:4">
      <c r="A579" s="35"/>
      <c r="B579" s="34"/>
      <c r="C579" s="35"/>
      <c r="D579" s="35"/>
    </row>
    <row r="580" spans="1:4">
      <c r="A580" s="35"/>
      <c r="B580" s="34"/>
      <c r="C580" s="35"/>
      <c r="D580" s="35"/>
    </row>
    <row r="581" spans="1:4">
      <c r="A581" s="35"/>
      <c r="B581" s="34"/>
      <c r="C581" s="35"/>
      <c r="D581" s="35"/>
    </row>
    <row r="582" spans="1:4">
      <c r="A582" s="35"/>
      <c r="B582" s="34"/>
      <c r="C582" s="35"/>
      <c r="D582" s="35"/>
    </row>
    <row r="583" spans="1:4">
      <c r="A583" s="35"/>
      <c r="B583" s="34"/>
      <c r="C583" s="35"/>
      <c r="D583" s="35"/>
    </row>
    <row r="584" spans="1:4">
      <c r="A584" s="35"/>
      <c r="B584" s="34"/>
      <c r="C584" s="35"/>
      <c r="D584" s="35"/>
    </row>
    <row r="585" spans="1:4">
      <c r="A585" s="35"/>
      <c r="B585" s="34"/>
      <c r="C585" s="35"/>
      <c r="D585" s="35"/>
    </row>
    <row r="586" spans="1:4">
      <c r="A586" s="35"/>
      <c r="B586" s="34"/>
      <c r="C586" s="35"/>
      <c r="D586" s="35"/>
    </row>
    <row r="587" spans="1:4">
      <c r="A587" s="35"/>
      <c r="B587" s="34"/>
      <c r="C587" s="35"/>
      <c r="D587" s="35"/>
    </row>
    <row r="588" spans="1:4">
      <c r="A588" s="35"/>
      <c r="B588" s="34"/>
      <c r="C588" s="35"/>
      <c r="D588" s="35"/>
    </row>
    <row r="589" spans="1:4">
      <c r="A589" s="35"/>
      <c r="B589" s="34"/>
      <c r="C589" s="35"/>
      <c r="D589" s="35"/>
    </row>
    <row r="590" spans="1:4">
      <c r="A590" s="35"/>
      <c r="B590" s="34"/>
      <c r="C590" s="35"/>
      <c r="D590" s="35"/>
    </row>
    <row r="591" spans="1:4">
      <c r="A591" s="35"/>
      <c r="B591" s="34"/>
      <c r="C591" s="35"/>
      <c r="D591" s="35"/>
    </row>
    <row r="592" spans="1:4">
      <c r="A592" s="35"/>
      <c r="B592" s="34"/>
      <c r="C592" s="35"/>
      <c r="D592" s="35"/>
    </row>
    <row r="593" spans="1:4">
      <c r="A593" s="35"/>
      <c r="B593" s="34"/>
      <c r="C593" s="35"/>
      <c r="D593" s="35"/>
    </row>
    <row r="594" spans="1:4">
      <c r="A594" s="35"/>
      <c r="B594" s="34"/>
      <c r="C594" s="35"/>
      <c r="D594" s="35"/>
    </row>
    <row r="595" spans="1:4">
      <c r="A595" s="35"/>
      <c r="B595" s="34"/>
      <c r="C595" s="35"/>
      <c r="D595" s="35"/>
    </row>
    <row r="596" spans="1:4">
      <c r="A596" s="35"/>
      <c r="B596" s="34"/>
      <c r="C596" s="35"/>
      <c r="D596" s="35"/>
    </row>
    <row r="597" spans="1:4">
      <c r="A597" s="35"/>
      <c r="B597" s="34"/>
      <c r="C597" s="35"/>
      <c r="D597" s="35"/>
    </row>
    <row r="598" spans="1:4">
      <c r="A598" s="35"/>
      <c r="B598" s="34"/>
      <c r="C598" s="35"/>
      <c r="D598" s="35"/>
    </row>
    <row r="599" spans="1:4">
      <c r="A599" s="35"/>
      <c r="B599" s="34"/>
      <c r="C599" s="35"/>
      <c r="D599" s="35"/>
    </row>
    <row r="600" spans="1:4">
      <c r="A600" s="35"/>
      <c r="B600" s="34"/>
      <c r="C600" s="35"/>
      <c r="D600" s="35"/>
    </row>
    <row r="601" spans="1:4">
      <c r="A601" s="35"/>
      <c r="B601" s="34"/>
      <c r="C601" s="35"/>
      <c r="D601" s="35"/>
    </row>
    <row r="602" spans="1:4">
      <c r="A602" s="35"/>
      <c r="B602" s="34"/>
      <c r="C602" s="35"/>
      <c r="D602" s="35"/>
    </row>
    <row r="603" spans="1:4">
      <c r="A603" s="35"/>
      <c r="B603" s="34"/>
      <c r="C603" s="35"/>
      <c r="D603" s="35"/>
    </row>
    <row r="604" spans="1:4">
      <c r="A604" s="35"/>
      <c r="B604" s="34"/>
      <c r="C604" s="35"/>
      <c r="D604" s="35"/>
    </row>
    <row r="605" spans="1:4">
      <c r="A605" s="35"/>
      <c r="B605" s="34"/>
      <c r="C605" s="35"/>
      <c r="D605" s="35"/>
    </row>
    <row r="606" spans="1:4">
      <c r="A606" s="35"/>
      <c r="B606" s="34"/>
      <c r="C606" s="35"/>
      <c r="D606" s="35"/>
    </row>
    <row r="607" spans="1:4">
      <c r="A607" s="35"/>
      <c r="B607" s="34"/>
      <c r="C607" s="35"/>
      <c r="D607" s="35"/>
    </row>
    <row r="608" spans="1:4">
      <c r="A608" s="35"/>
      <c r="B608" s="34"/>
      <c r="C608" s="35"/>
      <c r="D608" s="35"/>
    </row>
    <row r="609" spans="1:4">
      <c r="A609" s="35"/>
      <c r="B609" s="34"/>
      <c r="C609" s="35"/>
      <c r="D609" s="35"/>
    </row>
    <row r="610" spans="1:4">
      <c r="A610" s="35"/>
      <c r="B610" s="34"/>
      <c r="C610" s="35"/>
      <c r="D610" s="35"/>
    </row>
    <row r="611" spans="1:4">
      <c r="A611" s="35"/>
      <c r="B611" s="34"/>
      <c r="C611" s="35"/>
      <c r="D611" s="35"/>
    </row>
    <row r="612" spans="1:4">
      <c r="A612" s="35"/>
      <c r="B612" s="34"/>
      <c r="C612" s="35"/>
      <c r="D612" s="35"/>
    </row>
    <row r="613" spans="1:4">
      <c r="A613" s="35"/>
      <c r="B613" s="34"/>
      <c r="C613" s="35"/>
      <c r="D613" s="35"/>
    </row>
    <row r="614" spans="1:4">
      <c r="A614" s="35"/>
      <c r="B614" s="34"/>
      <c r="C614" s="35"/>
      <c r="D614" s="35"/>
    </row>
    <row r="615" spans="1:4">
      <c r="A615" s="35"/>
      <c r="B615" s="34"/>
      <c r="C615" s="35"/>
      <c r="D615" s="35"/>
    </row>
    <row r="616" spans="1:4">
      <c r="A616" s="35"/>
      <c r="B616" s="34"/>
      <c r="C616" s="35"/>
      <c r="D616" s="35"/>
    </row>
    <row r="617" spans="1:4">
      <c r="A617" s="35"/>
      <c r="B617" s="34"/>
      <c r="C617" s="35"/>
      <c r="D617" s="35"/>
    </row>
    <row r="618" spans="1:4">
      <c r="A618" s="35"/>
      <c r="B618" s="34"/>
      <c r="C618" s="35"/>
      <c r="D618" s="35"/>
    </row>
    <row r="619" spans="1:4">
      <c r="A619" s="35"/>
      <c r="B619" s="34"/>
      <c r="C619" s="35"/>
      <c r="D619" s="35"/>
    </row>
    <row r="620" spans="1:4">
      <c r="A620" s="35"/>
      <c r="B620" s="34"/>
      <c r="C620" s="35"/>
      <c r="D620" s="35"/>
    </row>
    <row r="621" spans="1:4">
      <c r="A621" s="35"/>
      <c r="B621" s="34"/>
      <c r="C621" s="35"/>
      <c r="D621" s="35"/>
    </row>
    <row r="622" spans="1:4">
      <c r="A622" s="35"/>
      <c r="B622" s="34"/>
      <c r="C622" s="35"/>
      <c r="D622" s="35"/>
    </row>
    <row r="623" spans="1:4">
      <c r="A623" s="35"/>
      <c r="B623" s="34"/>
      <c r="C623" s="35"/>
      <c r="D623" s="35"/>
    </row>
    <row r="624" spans="1:4">
      <c r="A624" s="35"/>
      <c r="B624" s="34"/>
      <c r="C624" s="35"/>
      <c r="D624" s="35"/>
    </row>
    <row r="625" spans="1:4">
      <c r="A625" s="35"/>
      <c r="B625" s="34"/>
      <c r="C625" s="35"/>
      <c r="D625" s="35"/>
    </row>
    <row r="626" spans="1:4">
      <c r="A626" s="35"/>
      <c r="B626" s="34"/>
      <c r="C626" s="35"/>
      <c r="D626" s="35"/>
    </row>
    <row r="627" spans="1:4">
      <c r="A627" s="35"/>
      <c r="B627" s="34"/>
      <c r="C627" s="35"/>
      <c r="D627" s="35"/>
    </row>
    <row r="628" spans="1:4">
      <c r="A628" s="35"/>
      <c r="B628" s="34"/>
      <c r="C628" s="35"/>
      <c r="D628" s="35"/>
    </row>
    <row r="629" spans="1:4">
      <c r="A629" s="35"/>
      <c r="B629" s="34"/>
      <c r="C629" s="35"/>
      <c r="D629" s="35"/>
    </row>
    <row r="630" spans="1:4">
      <c r="A630" s="35"/>
      <c r="B630" s="34"/>
      <c r="C630" s="35"/>
      <c r="D630" s="35"/>
    </row>
    <row r="631" spans="1:4">
      <c r="A631" s="35"/>
      <c r="B631" s="34"/>
      <c r="C631" s="35"/>
      <c r="D631" s="35"/>
    </row>
    <row r="632" spans="1:4">
      <c r="A632" s="35"/>
      <c r="B632" s="34"/>
      <c r="C632" s="35"/>
      <c r="D632" s="35"/>
    </row>
    <row r="633" spans="1:4">
      <c r="A633" s="35"/>
      <c r="B633" s="34"/>
      <c r="C633" s="35"/>
      <c r="D633" s="35"/>
    </row>
    <row r="634" spans="1:4">
      <c r="A634" s="35"/>
      <c r="B634" s="34"/>
      <c r="C634" s="35"/>
      <c r="D634" s="35"/>
    </row>
    <row r="635" spans="1:4">
      <c r="A635" s="35"/>
      <c r="B635" s="34"/>
      <c r="C635" s="35"/>
      <c r="D635" s="35"/>
    </row>
    <row r="636" spans="1:4">
      <c r="A636" s="35"/>
      <c r="B636" s="34"/>
      <c r="C636" s="35"/>
      <c r="D636" s="35"/>
    </row>
    <row r="637" spans="1:4">
      <c r="A637" s="35"/>
      <c r="B637" s="34"/>
      <c r="C637" s="35"/>
      <c r="D637" s="35"/>
    </row>
    <row r="638" spans="1:4">
      <c r="A638" s="35"/>
      <c r="B638" s="34"/>
      <c r="C638" s="35"/>
      <c r="D638" s="35"/>
    </row>
    <row r="639" spans="1:4">
      <c r="A639" s="35"/>
      <c r="B639" s="34"/>
      <c r="C639" s="35"/>
      <c r="D639" s="35"/>
    </row>
    <row r="640" spans="1:4">
      <c r="A640" s="35"/>
      <c r="B640" s="34"/>
      <c r="C640" s="35"/>
      <c r="D640" s="35"/>
    </row>
    <row r="641" spans="1:4">
      <c r="A641" s="35"/>
      <c r="B641" s="34"/>
      <c r="C641" s="35"/>
      <c r="D641" s="35"/>
    </row>
    <row r="642" spans="1:4">
      <c r="A642" s="35"/>
      <c r="B642" s="34"/>
      <c r="C642" s="35"/>
      <c r="D642" s="35"/>
    </row>
    <row r="643" spans="1:4">
      <c r="A643" s="35"/>
      <c r="B643" s="34"/>
      <c r="C643" s="35"/>
      <c r="D643" s="35"/>
    </row>
    <row r="644" spans="1:4">
      <c r="A644" s="35"/>
      <c r="B644" s="34"/>
      <c r="C644" s="35"/>
      <c r="D644" s="35"/>
    </row>
    <row r="645" spans="1:4">
      <c r="A645" s="35"/>
      <c r="B645" s="34"/>
      <c r="C645" s="35"/>
      <c r="D645" s="35"/>
    </row>
    <row r="646" spans="1:4">
      <c r="A646" s="35"/>
      <c r="B646" s="34"/>
      <c r="C646" s="35"/>
      <c r="D646" s="35"/>
    </row>
    <row r="647" spans="1:4">
      <c r="A647" s="35"/>
      <c r="B647" s="34"/>
      <c r="C647" s="35"/>
      <c r="D647" s="35"/>
    </row>
    <row r="648" spans="1:4">
      <c r="A648" s="35"/>
      <c r="B648" s="34"/>
      <c r="C648" s="35"/>
      <c r="D648" s="35"/>
    </row>
    <row r="649" spans="1:4">
      <c r="A649" s="35"/>
      <c r="B649" s="34"/>
      <c r="C649" s="35"/>
      <c r="D649" s="35"/>
    </row>
    <row r="650" spans="1:4">
      <c r="A650" s="35"/>
      <c r="B650" s="34"/>
      <c r="C650" s="35"/>
      <c r="D650" s="35"/>
    </row>
    <row r="651" spans="1:4">
      <c r="A651" s="35"/>
      <c r="B651" s="34"/>
      <c r="C651" s="35"/>
      <c r="D651" s="35"/>
    </row>
    <row r="652" spans="1:4">
      <c r="A652" s="35"/>
      <c r="B652" s="34"/>
      <c r="C652" s="35"/>
      <c r="D652" s="35"/>
    </row>
    <row r="653" spans="1:4">
      <c r="A653" s="35"/>
      <c r="B653" s="34"/>
      <c r="C653" s="35"/>
      <c r="D653" s="35"/>
    </row>
    <row r="654" spans="1:4">
      <c r="A654" s="35"/>
      <c r="B654" s="34"/>
      <c r="C654" s="35"/>
      <c r="D654" s="35"/>
    </row>
    <row r="655" spans="1:4">
      <c r="A655" s="35"/>
      <c r="B655" s="34"/>
      <c r="C655" s="35"/>
      <c r="D655" s="35"/>
    </row>
    <row r="656" spans="1:4">
      <c r="A656" s="35"/>
      <c r="B656" s="34"/>
      <c r="C656" s="35"/>
      <c r="D656" s="35"/>
    </row>
    <row r="657" spans="1:4">
      <c r="A657" s="35"/>
      <c r="B657" s="34"/>
      <c r="C657" s="35"/>
      <c r="D657" s="35"/>
    </row>
    <row r="658" spans="1:4">
      <c r="A658" s="35"/>
      <c r="B658" s="34"/>
      <c r="C658" s="35"/>
      <c r="D658" s="35"/>
    </row>
    <row r="659" spans="1:4">
      <c r="A659" s="35"/>
      <c r="B659" s="34"/>
      <c r="C659" s="35"/>
      <c r="D659" s="35"/>
    </row>
    <row r="660" spans="1:4">
      <c r="A660" s="35"/>
      <c r="B660" s="34"/>
      <c r="C660" s="35"/>
      <c r="D660" s="35"/>
    </row>
    <row r="661" spans="1:4">
      <c r="A661" s="35"/>
      <c r="B661" s="34"/>
      <c r="C661" s="35"/>
      <c r="D661" s="35"/>
    </row>
    <row r="662" spans="1:4">
      <c r="A662" s="35"/>
      <c r="B662" s="34"/>
      <c r="C662" s="35"/>
      <c r="D662" s="35"/>
    </row>
    <row r="663" spans="1:4">
      <c r="A663" s="35"/>
      <c r="B663" s="34"/>
      <c r="C663" s="35"/>
      <c r="D663" s="35"/>
    </row>
    <row r="664" spans="1:4">
      <c r="A664" s="35"/>
      <c r="B664" s="34"/>
      <c r="C664" s="35"/>
      <c r="D664" s="35"/>
    </row>
    <row r="665" spans="1:4">
      <c r="A665" s="35"/>
      <c r="B665" s="34"/>
      <c r="C665" s="35"/>
      <c r="D665" s="35"/>
    </row>
    <row r="666" spans="1:4">
      <c r="A666" s="35"/>
      <c r="B666" s="34"/>
      <c r="C666" s="35"/>
      <c r="D666" s="35"/>
    </row>
    <row r="667" spans="1:4">
      <c r="A667" s="35"/>
      <c r="B667" s="34"/>
      <c r="C667" s="35"/>
      <c r="D667" s="35"/>
    </row>
    <row r="668" spans="1:4">
      <c r="A668" s="35"/>
      <c r="B668" s="34"/>
      <c r="C668" s="35"/>
      <c r="D668" s="35"/>
    </row>
    <row r="669" spans="1:4">
      <c r="A669" s="35"/>
      <c r="B669" s="34"/>
      <c r="C669" s="35"/>
      <c r="D669" s="35"/>
    </row>
    <row r="670" spans="1:4">
      <c r="A670" s="35"/>
      <c r="B670" s="34"/>
      <c r="C670" s="35"/>
      <c r="D670" s="35"/>
    </row>
    <row r="671" spans="1:4">
      <c r="A671" s="35"/>
      <c r="B671" s="34"/>
      <c r="C671" s="35"/>
      <c r="D671" s="35"/>
    </row>
    <row r="672" spans="1:4">
      <c r="A672" s="35"/>
      <c r="B672" s="34"/>
      <c r="C672" s="35"/>
      <c r="D672" s="35"/>
    </row>
    <row r="673" spans="1:4">
      <c r="A673" s="35"/>
      <c r="B673" s="34"/>
      <c r="C673" s="35"/>
      <c r="D673" s="35"/>
    </row>
    <row r="674" spans="1:4">
      <c r="A674" s="35"/>
      <c r="B674" s="34"/>
      <c r="C674" s="35"/>
      <c r="D674" s="35"/>
    </row>
    <row r="675" spans="1:4">
      <c r="A675" s="35"/>
      <c r="B675" s="34"/>
      <c r="C675" s="35"/>
      <c r="D675" s="35"/>
    </row>
    <row r="676" spans="1:4">
      <c r="A676" s="35"/>
      <c r="B676" s="34"/>
      <c r="C676" s="35"/>
      <c r="D676" s="35"/>
    </row>
    <row r="677" spans="1:4">
      <c r="A677" s="35"/>
      <c r="B677" s="34"/>
      <c r="C677" s="35"/>
      <c r="D677" s="35"/>
    </row>
    <row r="678" spans="1:4">
      <c r="A678" s="35"/>
      <c r="B678" s="34"/>
      <c r="C678" s="35"/>
      <c r="D678" s="35"/>
    </row>
    <row r="679" spans="1:4">
      <c r="A679" s="35"/>
      <c r="B679" s="34"/>
      <c r="C679" s="35"/>
      <c r="D679" s="35"/>
    </row>
    <row r="680" spans="1:4">
      <c r="A680" s="35"/>
      <c r="B680" s="34"/>
      <c r="C680" s="35"/>
      <c r="D680" s="35"/>
    </row>
    <row r="681" spans="1:4">
      <c r="A681" s="35"/>
      <c r="B681" s="34"/>
      <c r="C681" s="35"/>
      <c r="D681" s="35"/>
    </row>
    <row r="682" spans="1:4">
      <c r="A682" s="35"/>
      <c r="B682" s="34"/>
      <c r="C682" s="35"/>
      <c r="D682" s="35"/>
    </row>
    <row r="683" spans="1:4">
      <c r="A683" s="35"/>
      <c r="B683" s="34"/>
      <c r="C683" s="35"/>
      <c r="D683" s="35"/>
    </row>
    <row r="684" spans="1:4">
      <c r="A684" s="35"/>
      <c r="B684" s="34"/>
      <c r="C684" s="35"/>
      <c r="D684" s="35"/>
    </row>
    <row r="685" spans="1:4">
      <c r="A685" s="35"/>
      <c r="B685" s="34"/>
      <c r="C685" s="35"/>
      <c r="D685" s="35"/>
    </row>
    <row r="686" spans="1:4">
      <c r="A686" s="35"/>
      <c r="B686" s="34"/>
      <c r="C686" s="35"/>
      <c r="D686" s="35"/>
    </row>
    <row r="687" spans="1:4">
      <c r="A687" s="35"/>
      <c r="B687" s="34"/>
      <c r="C687" s="35"/>
      <c r="D687" s="35"/>
    </row>
    <row r="688" spans="1:4">
      <c r="A688" s="35"/>
      <c r="B688" s="34"/>
      <c r="C688" s="35"/>
      <c r="D688" s="35"/>
    </row>
    <row r="689" spans="1:4">
      <c r="A689" s="35"/>
      <c r="B689" s="34"/>
      <c r="C689" s="35"/>
      <c r="D689" s="35"/>
    </row>
    <row r="690" spans="1:4">
      <c r="A690" s="35"/>
      <c r="B690" s="34"/>
      <c r="C690" s="35"/>
      <c r="D690" s="35"/>
    </row>
    <row r="691" spans="1:4">
      <c r="A691" s="35"/>
      <c r="B691" s="34"/>
      <c r="C691" s="35"/>
      <c r="D691" s="35"/>
    </row>
    <row r="692" spans="1:4">
      <c r="A692" s="35"/>
      <c r="B692" s="34"/>
      <c r="C692" s="35"/>
      <c r="D692" s="35"/>
    </row>
    <row r="693" spans="1:4">
      <c r="A693" s="35"/>
      <c r="B693" s="34"/>
      <c r="C693" s="35"/>
      <c r="D693" s="35"/>
    </row>
    <row r="694" spans="1:4">
      <c r="A694" s="35"/>
      <c r="B694" s="34"/>
      <c r="C694" s="35"/>
      <c r="D694" s="35"/>
    </row>
    <row r="695" spans="1:4">
      <c r="A695" s="35"/>
      <c r="B695" s="34"/>
      <c r="C695" s="35"/>
      <c r="D695" s="35"/>
    </row>
    <row r="696" spans="1:4">
      <c r="A696" s="35"/>
      <c r="B696" s="34"/>
      <c r="C696" s="35"/>
      <c r="D696" s="35"/>
    </row>
    <row r="697" spans="1:4">
      <c r="A697" s="35"/>
      <c r="B697" s="34"/>
      <c r="C697" s="35"/>
      <c r="D697" s="35"/>
    </row>
    <row r="698" spans="1:4">
      <c r="A698" s="35"/>
      <c r="B698" s="34"/>
      <c r="C698" s="35"/>
      <c r="D698" s="35"/>
    </row>
    <row r="699" spans="1:4">
      <c r="A699" s="35"/>
      <c r="B699" s="34"/>
      <c r="C699" s="35"/>
      <c r="D699" s="35"/>
    </row>
    <row r="700" spans="1:4">
      <c r="A700" s="35"/>
      <c r="B700" s="34"/>
      <c r="C700" s="35"/>
      <c r="D700" s="35"/>
    </row>
    <row r="701" spans="1:4">
      <c r="A701" s="35"/>
      <c r="B701" s="34"/>
      <c r="C701" s="35"/>
      <c r="D701" s="35"/>
    </row>
    <row r="702" spans="1:4">
      <c r="A702" s="35"/>
      <c r="B702" s="34"/>
      <c r="C702" s="35"/>
      <c r="D702" s="35"/>
    </row>
    <row r="703" spans="1:4">
      <c r="A703" s="35"/>
      <c r="B703" s="34"/>
      <c r="C703" s="35"/>
      <c r="D703" s="35"/>
    </row>
    <row r="704" spans="1:4">
      <c r="A704" s="35"/>
      <c r="B704" s="34"/>
      <c r="C704" s="35"/>
      <c r="D704" s="35"/>
    </row>
    <row r="705" spans="1:4">
      <c r="A705" s="35"/>
      <c r="B705" s="34"/>
      <c r="C705" s="35"/>
      <c r="D705" s="35"/>
    </row>
    <row r="706" spans="1:4">
      <c r="A706" s="35"/>
      <c r="B706" s="34"/>
      <c r="C706" s="35"/>
      <c r="D706" s="35"/>
    </row>
    <row r="707" spans="1:4">
      <c r="A707" s="35"/>
      <c r="B707" s="34"/>
      <c r="C707" s="35"/>
      <c r="D707" s="35"/>
    </row>
    <row r="708" spans="1:4">
      <c r="A708" s="35"/>
      <c r="B708" s="34"/>
      <c r="C708" s="35"/>
      <c r="D708" s="35"/>
    </row>
    <row r="709" spans="1:4">
      <c r="A709" s="35"/>
      <c r="B709" s="34"/>
      <c r="C709" s="35"/>
      <c r="D709" s="35"/>
    </row>
    <row r="710" spans="1:4">
      <c r="A710" s="35"/>
      <c r="B710" s="34"/>
      <c r="C710" s="35"/>
      <c r="D710" s="35"/>
    </row>
    <row r="711" spans="1:4">
      <c r="A711" s="35"/>
      <c r="B711" s="34"/>
      <c r="C711" s="35"/>
      <c r="D711" s="35"/>
    </row>
    <row r="712" spans="1:4">
      <c r="A712" s="35"/>
      <c r="B712" s="34"/>
      <c r="C712" s="35"/>
      <c r="D712" s="35"/>
    </row>
    <row r="713" spans="1:4">
      <c r="A713" s="35"/>
      <c r="B713" s="34"/>
      <c r="C713" s="35"/>
      <c r="D713" s="35"/>
    </row>
    <row r="714" spans="1:4">
      <c r="A714" s="35"/>
      <c r="B714" s="34"/>
      <c r="C714" s="35"/>
      <c r="D714" s="35"/>
    </row>
    <row r="715" spans="1:4">
      <c r="A715" s="35"/>
      <c r="B715" s="34"/>
      <c r="C715" s="35"/>
      <c r="D715" s="35"/>
    </row>
    <row r="716" spans="1:4">
      <c r="A716" s="35"/>
      <c r="B716" s="34"/>
      <c r="C716" s="35"/>
      <c r="D716" s="35"/>
    </row>
    <row r="717" spans="1:4">
      <c r="A717" s="35"/>
      <c r="B717" s="34"/>
      <c r="C717" s="35"/>
      <c r="D717" s="35"/>
    </row>
    <row r="718" spans="1:4">
      <c r="A718" s="35"/>
      <c r="B718" s="34"/>
      <c r="C718" s="35"/>
      <c r="D718" s="35"/>
    </row>
    <row r="719" spans="1:4">
      <c r="A719" s="35"/>
      <c r="B719" s="34"/>
      <c r="C719" s="35"/>
      <c r="D719" s="35"/>
    </row>
    <row r="720" spans="1:4">
      <c r="A720" s="35"/>
      <c r="B720" s="34"/>
      <c r="C720" s="35"/>
      <c r="D720" s="35"/>
    </row>
    <row r="721" spans="1:4">
      <c r="A721" s="35"/>
      <c r="B721" s="34"/>
      <c r="C721" s="35"/>
      <c r="D721" s="35"/>
    </row>
    <row r="722" spans="1:4">
      <c r="A722" s="35"/>
      <c r="B722" s="34"/>
      <c r="C722" s="35"/>
      <c r="D722" s="35"/>
    </row>
    <row r="723" spans="1:4">
      <c r="A723" s="35"/>
      <c r="B723" s="34"/>
      <c r="C723" s="35"/>
      <c r="D723" s="35"/>
    </row>
    <row r="724" spans="1:4">
      <c r="A724" s="35"/>
      <c r="B724" s="34"/>
      <c r="C724" s="35"/>
      <c r="D724" s="35"/>
    </row>
    <row r="725" spans="1:4">
      <c r="A725" s="35"/>
      <c r="B725" s="34"/>
      <c r="C725" s="35"/>
      <c r="D725" s="35"/>
    </row>
    <row r="726" spans="1:4">
      <c r="A726" s="35"/>
      <c r="B726" s="34"/>
      <c r="C726" s="35"/>
      <c r="D726" s="35"/>
    </row>
    <row r="727" spans="1:4">
      <c r="A727" s="35"/>
      <c r="B727" s="34"/>
      <c r="C727" s="35"/>
      <c r="D727" s="35"/>
    </row>
    <row r="728" spans="1:4">
      <c r="A728" s="35"/>
      <c r="B728" s="34"/>
      <c r="C728" s="35"/>
      <c r="D728" s="35"/>
    </row>
    <row r="729" spans="1:4">
      <c r="A729" s="35"/>
      <c r="B729" s="34"/>
      <c r="C729" s="35"/>
      <c r="D729" s="35"/>
    </row>
    <row r="730" spans="1:4">
      <c r="A730" s="35"/>
      <c r="B730" s="34"/>
      <c r="C730" s="35"/>
      <c r="D730" s="35"/>
    </row>
    <row r="731" spans="1:4">
      <c r="A731" s="35"/>
      <c r="B731" s="34"/>
      <c r="C731" s="35"/>
      <c r="D731" s="35"/>
    </row>
    <row r="732" spans="1:4">
      <c r="A732" s="35"/>
      <c r="B732" s="34"/>
      <c r="C732" s="35"/>
      <c r="D732" s="35"/>
    </row>
    <row r="733" spans="1:4">
      <c r="A733" s="35"/>
      <c r="B733" s="34"/>
      <c r="C733" s="35"/>
      <c r="D733" s="35"/>
    </row>
    <row r="734" spans="1:4">
      <c r="A734" s="35"/>
      <c r="B734" s="34"/>
      <c r="C734" s="35"/>
      <c r="D734" s="35"/>
    </row>
    <row r="735" spans="1:4">
      <c r="A735" s="35"/>
      <c r="B735" s="34"/>
      <c r="C735" s="35"/>
      <c r="D735" s="35"/>
    </row>
    <row r="736" spans="1:4">
      <c r="A736" s="35"/>
      <c r="B736" s="34"/>
      <c r="C736" s="35"/>
      <c r="D736" s="35"/>
    </row>
    <row r="737" spans="1:4">
      <c r="A737" s="35"/>
      <c r="B737" s="34"/>
      <c r="C737" s="35"/>
      <c r="D737" s="35"/>
    </row>
    <row r="738" spans="1:4">
      <c r="A738" s="35"/>
      <c r="B738" s="34"/>
      <c r="C738" s="35"/>
      <c r="D738" s="35"/>
    </row>
    <row r="739" spans="1:4">
      <c r="A739" s="35"/>
      <c r="B739" s="34"/>
      <c r="C739" s="35"/>
      <c r="D739" s="35"/>
    </row>
    <row r="740" spans="1:4">
      <c r="A740" s="35"/>
      <c r="B740" s="34"/>
      <c r="C740" s="35"/>
      <c r="D740" s="35"/>
    </row>
    <row r="741" spans="1:4">
      <c r="A741" s="35"/>
      <c r="B741" s="34"/>
      <c r="C741" s="35"/>
      <c r="D741" s="35"/>
    </row>
    <row r="742" spans="1:4">
      <c r="A742" s="35"/>
      <c r="B742" s="34"/>
      <c r="C742" s="35"/>
      <c r="D742" s="35"/>
    </row>
    <row r="743" spans="1:4">
      <c r="A743" s="35"/>
      <c r="B743" s="34"/>
      <c r="C743" s="35"/>
      <c r="D743" s="35"/>
    </row>
    <row r="744" spans="1:4">
      <c r="A744" s="35"/>
      <c r="B744" s="34"/>
      <c r="C744" s="35"/>
      <c r="D744" s="35"/>
    </row>
    <row r="745" spans="1:4">
      <c r="A745" s="35"/>
      <c r="B745" s="34"/>
      <c r="C745" s="35"/>
      <c r="D745" s="35"/>
    </row>
    <row r="746" spans="1:4">
      <c r="A746" s="35"/>
      <c r="B746" s="34"/>
      <c r="C746" s="35"/>
      <c r="D746" s="35"/>
    </row>
    <row r="747" spans="1:4">
      <c r="A747" s="35"/>
      <c r="B747" s="34"/>
      <c r="C747" s="35"/>
      <c r="D747" s="35"/>
    </row>
    <row r="748" spans="1:4">
      <c r="A748" s="35"/>
      <c r="B748" s="34"/>
      <c r="C748" s="35"/>
      <c r="D748" s="35"/>
    </row>
  </sheetData>
  <sheetProtection sheet="1" objects="1" scenarios="1" formatCells="0" formatColumns="0" formatRows="0" sort="0" autoFilter="0"/>
  <mergeCells count="25">
    <mergeCell ref="H2:R2"/>
    <mergeCell ref="H3:R3"/>
    <mergeCell ref="H4:R4"/>
    <mergeCell ref="H5:R5"/>
    <mergeCell ref="A5:C5"/>
    <mergeCell ref="A2:C2"/>
    <mergeCell ref="A3:C3"/>
    <mergeCell ref="A4:C4"/>
    <mergeCell ref="AO9:AO10"/>
    <mergeCell ref="B9:B10"/>
    <mergeCell ref="A21:C21"/>
    <mergeCell ref="A9:A10"/>
    <mergeCell ref="AL8:AM8"/>
    <mergeCell ref="AK9:AK10"/>
    <mergeCell ref="C9:C10"/>
    <mergeCell ref="D9:D10"/>
    <mergeCell ref="AM9:AM10"/>
    <mergeCell ref="AL9:AL10"/>
    <mergeCell ref="AJ9:AJ10"/>
    <mergeCell ref="A24:C24"/>
    <mergeCell ref="A23:D23"/>
    <mergeCell ref="A20:D20"/>
    <mergeCell ref="AN9:AN10"/>
    <mergeCell ref="T3:AH3"/>
    <mergeCell ref="T5:AH5"/>
  </mergeCells>
  <conditionalFormatting sqref="AL11">
    <cfRule type="cellIs" dxfId="1" priority="2" operator="greaterThan">
      <formula>$AK11</formula>
    </cfRule>
  </conditionalFormatting>
  <conditionalFormatting sqref="AL12:AL15">
    <cfRule type="cellIs" dxfId="0" priority="1" operator="greaterThan">
      <formula>$AK12</formula>
    </cfRule>
  </conditionalFormatting>
  <dataValidations count="2">
    <dataValidation type="list" allowBlank="1" showInputMessage="1" showErrorMessage="1" sqref="D21 E11:AI15">
      <formula1>Часы</formula1>
    </dataValidation>
    <dataValidation type="list" allowBlank="1" showInputMessage="1" showErrorMessage="1" sqref="AJ11:AJ15">
      <formula1>Фиксация</formula1>
    </dataValidation>
  </dataValidations>
  <hyperlinks>
    <hyperlink ref="Y1" r:id="rId1" tooltip="Как включить макросы?"/>
    <hyperlink ref="A7" location="График!A25" display="Обязательное присутствие в смене"/>
  </hyperlinks>
  <pageMargins left="0.7" right="0.7" top="0.75" bottom="0.75" header="0.3" footer="0.3"/>
  <drawing r:id="rId2"/>
  <legacyDrawing r:id="rId3"/>
  <controls>
    <control shapeId="1055" r:id="rId4" name="GrafCreate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2"/>
  <dimension ref="A1:C23"/>
  <sheetViews>
    <sheetView workbookViewId="0">
      <selection activeCell="C8" sqref="C8"/>
    </sheetView>
  </sheetViews>
  <sheetFormatPr defaultRowHeight="15"/>
  <cols>
    <col min="1" max="1" width="6.85546875" style="3" customWidth="1"/>
    <col min="2" max="2" width="2.5703125" customWidth="1"/>
    <col min="3" max="3" width="15.85546875" customWidth="1"/>
  </cols>
  <sheetData>
    <row r="1" spans="1:3">
      <c r="A1" s="4" t="s">
        <v>10</v>
      </c>
      <c r="C1" s="12" t="s">
        <v>36</v>
      </c>
    </row>
    <row r="2" spans="1:3">
      <c r="A2" s="3" t="s">
        <v>24</v>
      </c>
      <c r="C2" s="12"/>
    </row>
    <row r="3" spans="1:3">
      <c r="A3" s="3">
        <v>4</v>
      </c>
      <c r="C3" t="s">
        <v>16</v>
      </c>
    </row>
    <row r="4" spans="1:3">
      <c r="A4" s="3">
        <v>5</v>
      </c>
      <c r="C4" t="s">
        <v>37</v>
      </c>
    </row>
    <row r="5" spans="1:3">
      <c r="A5" s="3">
        <v>6</v>
      </c>
    </row>
    <row r="6" spans="1:3">
      <c r="A6" s="3">
        <v>7</v>
      </c>
    </row>
    <row r="7" spans="1:3">
      <c r="A7" s="3">
        <v>8</v>
      </c>
    </row>
    <row r="8" spans="1:3">
      <c r="A8" s="3">
        <v>9</v>
      </c>
    </row>
    <row r="9" spans="1:3">
      <c r="A9" s="3">
        <v>10</v>
      </c>
    </row>
    <row r="10" spans="1:3">
      <c r="A10" s="3">
        <v>11</v>
      </c>
    </row>
    <row r="11" spans="1:3">
      <c r="A11" s="3">
        <v>12</v>
      </c>
    </row>
    <row r="12" spans="1:3">
      <c r="A12" s="3">
        <v>13</v>
      </c>
    </row>
    <row r="13" spans="1:3">
      <c r="A13" s="3">
        <v>14</v>
      </c>
    </row>
    <row r="14" spans="1:3">
      <c r="A14" s="3">
        <v>15</v>
      </c>
    </row>
    <row r="15" spans="1:3">
      <c r="A15" s="3">
        <v>16</v>
      </c>
    </row>
    <row r="16" spans="1:3">
      <c r="A16" s="3">
        <v>17</v>
      </c>
    </row>
    <row r="17" spans="1:1">
      <c r="A17" s="3">
        <v>18</v>
      </c>
    </row>
    <row r="18" spans="1:1">
      <c r="A18" s="3">
        <v>19</v>
      </c>
    </row>
    <row r="19" spans="1:1">
      <c r="A19" s="3">
        <v>20</v>
      </c>
    </row>
    <row r="20" spans="1:1">
      <c r="A20" s="3">
        <v>21</v>
      </c>
    </row>
    <row r="21" spans="1:1">
      <c r="A21" s="3">
        <v>22</v>
      </c>
    </row>
    <row r="22" spans="1:1">
      <c r="A22" s="3">
        <v>23</v>
      </c>
    </row>
    <row r="23" spans="1:1">
      <c r="A23" s="3">
        <v>24</v>
      </c>
    </row>
  </sheetData>
  <sheetProtection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</vt:i4>
      </vt:variant>
      <vt:variant>
        <vt:lpstr>Именованные диапазоны</vt:lpstr>
      </vt:variant>
      <vt:variant>
        <vt:i4>2</vt:i4>
      </vt:variant>
    </vt:vector>
  </HeadingPairs>
  <TitlesOfParts>
    <vt:vector size="4" baseType="lpstr">
      <vt:lpstr>График</vt:lpstr>
      <vt:lpstr>Условия</vt:lpstr>
      <vt:lpstr>Фиксация</vt:lpstr>
      <vt:lpstr>Часы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Рыкова Ольга Н.</dc:creator>
  <cp:lastModifiedBy>Рыкова Ольга Н.</cp:lastModifiedBy>
  <dcterms:created xsi:type="dcterms:W3CDTF">2014-12-12T08:16:34Z</dcterms:created>
  <dcterms:modified xsi:type="dcterms:W3CDTF">2014-12-17T14:53:47Z</dcterms:modified>
</cp:coreProperties>
</file>